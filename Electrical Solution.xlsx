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13_ncr:1_{77EBDC81-7686-419F-9B32-4D41CEB5F727}" xr6:coauthVersionLast="47" xr6:coauthVersionMax="47" xr10:uidLastSave="{00000000-0000-0000-0000-000000000000}"/>
  <bookViews>
    <workbookView xWindow="-120" yWindow="-120" windowWidth="20730" windowHeight="11040" tabRatio="456" activeTab="2" xr2:uid="{00000000-000D-0000-FFFF-FFFF00000000}"/>
  </bookViews>
  <sheets>
    <sheet name="Raw Data" sheetId="2" r:id="rId1"/>
    <sheet name="Pivot Sheet" sheetId="3" r:id="rId2"/>
    <sheet name="Dashboard" sheetId="6" r:id="rId3"/>
  </sheets>
  <definedNames>
    <definedName name="_xlcn.WorksheetConnection_RecordsOfJune.xlsxTable131" hidden="1">Table13[]</definedName>
    <definedName name="_xlcn.WorksheetConnection_Sheet2AH1" hidden="1">'Raw Data'!$A:$H</definedName>
    <definedName name="Slicer_Date_Range">#N/A</definedName>
    <definedName name="Slicer_Week">#N/A</definedName>
  </definedNames>
  <calcPr calcId="191029"/>
  <pivotCaches>
    <pivotCache cacheId="1" r:id="rId4"/>
    <pivotCache cacheId="3" r:id="rId5"/>
    <pivotCache cacheId="4" r:id="rId6"/>
    <pivotCache cacheId="24" r:id="rId7"/>
    <pivotCache cacheId="60" r:id="rId8"/>
    <pivotCache cacheId="63"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H"/>
          <x15:modelTable id="Table13" name="Table13" connection="WorksheetConnection_RecordsOfJune.xlsx!Table1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E66" i="2"/>
  <c r="F66" i="2"/>
  <c r="E77" i="2"/>
  <c r="F77" i="2"/>
  <c r="E109" i="2"/>
  <c r="F109" i="2"/>
  <c r="F182" i="2"/>
  <c r="F284" i="2"/>
  <c r="F302" i="2"/>
  <c r="F304" i="2"/>
  <c r="F352" i="2"/>
  <c r="F395" i="2"/>
  <c r="F538"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7" i="2"/>
  <c r="F68" i="2"/>
  <c r="F69" i="2"/>
  <c r="F70" i="2"/>
  <c r="F71" i="2"/>
  <c r="F72" i="2"/>
  <c r="F73" i="2"/>
  <c r="F74" i="2"/>
  <c r="F75" i="2"/>
  <c r="F76"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5" i="2"/>
  <c r="F286" i="2"/>
  <c r="F287" i="2"/>
  <c r="F288" i="2"/>
  <c r="F289" i="2"/>
  <c r="F290" i="2"/>
  <c r="F291" i="2"/>
  <c r="F292" i="2"/>
  <c r="F293" i="2"/>
  <c r="F294" i="2"/>
  <c r="F295" i="2"/>
  <c r="F296" i="2"/>
  <c r="F297" i="2"/>
  <c r="F298" i="2"/>
  <c r="F299" i="2"/>
  <c r="F300" i="2"/>
  <c r="F301" i="2"/>
  <c r="F303"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9" i="2"/>
  <c r="F540" i="2"/>
  <c r="F541" i="2"/>
  <c r="F542" i="2"/>
  <c r="F543" i="2"/>
  <c r="F544" i="2"/>
  <c r="F545" i="2"/>
  <c r="F546" i="2"/>
  <c r="F547" i="2"/>
  <c r="F548" i="2"/>
  <c r="F549" i="2"/>
  <c r="F550" i="2"/>
  <c r="F551" i="2"/>
  <c r="F552" i="2"/>
  <c r="F553" i="2"/>
  <c r="F554" i="2"/>
  <c r="F555" i="2"/>
  <c r="E33" i="2"/>
  <c r="E83" i="2"/>
  <c r="E6" i="2"/>
  <c r="E3" i="2"/>
  <c r="E4" i="2"/>
  <c r="E5" i="2"/>
  <c r="E7" i="2"/>
  <c r="E8" i="2"/>
  <c r="E9" i="2"/>
  <c r="E10" i="2"/>
  <c r="E11" i="2"/>
  <c r="E12" i="2"/>
  <c r="E13" i="2"/>
  <c r="E14" i="2"/>
  <c r="E15" i="2"/>
  <c r="E16" i="2"/>
  <c r="E17" i="2"/>
  <c r="E18" i="2"/>
  <c r="E19" i="2"/>
  <c r="E20" i="2"/>
  <c r="E21" i="2"/>
  <c r="E22" i="2"/>
  <c r="E23" i="2"/>
  <c r="E24" i="2"/>
  <c r="E25" i="2"/>
  <c r="E26" i="2"/>
  <c r="E27" i="2"/>
  <c r="E28" i="2"/>
  <c r="E29" i="2"/>
  <c r="E30" i="2"/>
  <c r="E31" i="2"/>
  <c r="E32"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7" i="2"/>
  <c r="E68" i="2"/>
  <c r="E69" i="2"/>
  <c r="E70" i="2"/>
  <c r="E71" i="2"/>
  <c r="E72" i="2"/>
  <c r="E73" i="2"/>
  <c r="E74" i="2"/>
  <c r="E75" i="2"/>
  <c r="E76" i="2"/>
  <c r="E78" i="2"/>
  <c r="E79" i="2"/>
  <c r="E80" i="2"/>
  <c r="E81" i="2"/>
  <c r="E82" i="2"/>
  <c r="E84" i="2"/>
  <c r="E85" i="2"/>
  <c r="E86" i="2"/>
  <c r="E87" i="2"/>
  <c r="E88" i="2"/>
  <c r="E89" i="2"/>
  <c r="E90" i="2"/>
  <c r="E91" i="2"/>
  <c r="E92" i="2"/>
  <c r="E93" i="2"/>
  <c r="E94" i="2"/>
  <c r="E95" i="2"/>
  <c r="E96" i="2"/>
  <c r="E97" i="2"/>
  <c r="E98" i="2"/>
  <c r="E99" i="2"/>
  <c r="E100" i="2"/>
  <c r="E101" i="2"/>
  <c r="E102" i="2"/>
  <c r="E103" i="2"/>
  <c r="E104" i="2"/>
  <c r="E105" i="2"/>
  <c r="E106" i="2"/>
  <c r="E107" i="2"/>
  <c r="E108" i="2"/>
  <c r="E110" i="2"/>
  <c r="E2" i="2"/>
  <c r="E333" i="2"/>
  <c r="E334" i="2"/>
  <c r="E335" i="2"/>
  <c r="E336" i="2"/>
  <c r="E337" i="2"/>
  <c r="E338" i="2"/>
  <c r="E339" i="2"/>
  <c r="E340" i="2"/>
  <c r="E341" i="2"/>
  <c r="E342" i="2"/>
  <c r="E343" i="2"/>
  <c r="E344" i="2"/>
  <c r="E345" i="2"/>
  <c r="E346" i="2"/>
  <c r="E347" i="2"/>
  <c r="E348" i="2"/>
  <c r="E349" i="2"/>
  <c r="E408" i="2"/>
  <c r="E398" i="2" s="1"/>
  <c r="E409" i="2"/>
  <c r="E410" i="2"/>
  <c r="E411" i="2"/>
  <c r="E412" i="2"/>
  <c r="E413" i="2"/>
  <c r="E415" i="2"/>
  <c r="E416" i="2"/>
  <c r="E417" i="2"/>
  <c r="E418" i="2"/>
  <c r="E419" i="2"/>
  <c r="E422" i="2"/>
  <c r="E423" i="2"/>
  <c r="E427" i="2"/>
  <c r="E430" i="2"/>
  <c r="E431" i="2"/>
  <c r="E433" i="2"/>
  <c r="E434" i="2"/>
  <c r="E435" i="2"/>
  <c r="E437" i="2"/>
  <c r="E438" i="2"/>
  <c r="E439" i="2"/>
  <c r="E440" i="2"/>
  <c r="E441" i="2"/>
  <c r="E442" i="2"/>
  <c r="E443" i="2"/>
  <c r="E444" i="2"/>
  <c r="E445" i="2"/>
  <c r="E447" i="2"/>
  <c r="E448" i="2"/>
  <c r="E450" i="2"/>
  <c r="E451" i="2"/>
  <c r="E452" i="2"/>
  <c r="E453" i="2"/>
  <c r="E454" i="2"/>
  <c r="E455" i="2"/>
  <c r="E456" i="2"/>
  <c r="E457" i="2"/>
  <c r="E458" i="2"/>
  <c r="E459" i="2"/>
  <c r="E460" i="2"/>
  <c r="E461" i="2"/>
  <c r="E462" i="2"/>
  <c r="E463" i="2"/>
  <c r="E464" i="2"/>
  <c r="E466" i="2"/>
  <c r="E467" i="2"/>
  <c r="E469" i="2"/>
  <c r="E470" i="2"/>
  <c r="E471" i="2"/>
  <c r="E472" i="2"/>
  <c r="E473" i="2"/>
  <c r="E474" i="2"/>
  <c r="E475" i="2"/>
  <c r="E476" i="2"/>
  <c r="E477" i="2"/>
  <c r="E482" i="2"/>
  <c r="E484" i="2"/>
  <c r="E486" i="2"/>
  <c r="E487" i="2"/>
  <c r="E488" i="2"/>
  <c r="E489" i="2"/>
  <c r="E491" i="2"/>
  <c r="E492" i="2"/>
  <c r="E493" i="2"/>
  <c r="E494" i="2"/>
  <c r="E499" i="2"/>
  <c r="E501" i="2"/>
  <c r="E502" i="2"/>
  <c r="E504" i="2"/>
  <c r="E505" i="2"/>
  <c r="E506" i="2"/>
  <c r="E508" i="2"/>
  <c r="E509" i="2"/>
  <c r="E510" i="2"/>
  <c r="E511" i="2"/>
  <c r="E512" i="2"/>
  <c r="E513" i="2"/>
  <c r="E514" i="2"/>
  <c r="E515" i="2"/>
  <c r="E516" i="2"/>
  <c r="E517" i="2"/>
  <c r="E519" i="2"/>
  <c r="E524" i="2"/>
  <c r="E525" i="2"/>
  <c r="E526" i="2"/>
  <c r="E527" i="2"/>
  <c r="E528" i="2"/>
  <c r="E529" i="2"/>
  <c r="E531" i="2"/>
  <c r="E532" i="2"/>
  <c r="E534" i="2"/>
  <c r="E535" i="2"/>
  <c r="E536" i="2"/>
  <c r="E539" i="2"/>
  <c r="E540" i="2"/>
  <c r="E541" i="2"/>
  <c r="E542" i="2"/>
  <c r="E543" i="2"/>
  <c r="E544" i="2"/>
  <c r="E545" i="2"/>
  <c r="E546" i="2"/>
  <c r="E547" i="2"/>
  <c r="E548" i="2"/>
  <c r="E549" i="2"/>
  <c r="E551" i="2"/>
  <c r="E552" i="2"/>
  <c r="E553" i="2"/>
  <c r="E55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AC95CA-5DF3-4FC1-90E0-BC4C7953A1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C23DA7-0376-4AE5-BB6D-CD69D8DE7912}" name="WorksheetConnection_RecordsOfJune.xlsx!Table13" type="102" refreshedVersion="8" minRefreshableVersion="5">
    <extLst>
      <ext xmlns:x15="http://schemas.microsoft.com/office/spreadsheetml/2010/11/main" uri="{DE250136-89BD-433C-8126-D09CA5730AF9}">
        <x15:connection id="Table13" autoDelete="1">
          <x15:rangePr sourceName="_xlcn.WorksheetConnection_RecordsOfJune.xlsxTable131"/>
        </x15:connection>
      </ext>
    </extLst>
  </connection>
  <connection id="3" xr16:uid="{41EB60F1-6404-4FE2-B3B2-0D722244773A}" name="WorksheetConnection_Sheet2!$A:$H" type="102" refreshedVersion="8" minRefreshableVersion="5">
    <extLst>
      <ext xmlns:x15="http://schemas.microsoft.com/office/spreadsheetml/2010/11/main" uri="{DE250136-89BD-433C-8126-D09CA5730AF9}">
        <x15:connection id="Range" autoDelete="1">
          <x15:rangePr sourceName="_xlcn.WorksheetConnection_Sheet2AH1"/>
        </x15:connection>
      </ext>
    </extLst>
  </connection>
</connections>
</file>

<file path=xl/sharedStrings.xml><?xml version="1.0" encoding="utf-8"?>
<sst xmlns="http://schemas.openxmlformats.org/spreadsheetml/2006/main" count="617" uniqueCount="322">
  <si>
    <t>Date</t>
  </si>
  <si>
    <t>Product Name</t>
  </si>
  <si>
    <t>Quantity</t>
  </si>
  <si>
    <t xml:space="preserve">Price </t>
  </si>
  <si>
    <t xml:space="preserve">12W halonex light </t>
  </si>
  <si>
    <t xml:space="preserve">Crown 2500w infra </t>
  </si>
  <si>
    <t xml:space="preserve">Cona ss com box </t>
  </si>
  <si>
    <t xml:space="preserve">2.5 mm ss wire </t>
  </si>
  <si>
    <t xml:space="preserve">power plate </t>
  </si>
  <si>
    <t xml:space="preserve">12 m complet bord </t>
  </si>
  <si>
    <t xml:space="preserve">tapariya tester </t>
  </si>
  <si>
    <t xml:space="preserve">6A Switch allazy </t>
  </si>
  <si>
    <t xml:space="preserve">1/2 mcb box </t>
  </si>
  <si>
    <t xml:space="preserve">miter patti </t>
  </si>
  <si>
    <t>visha l coil</t>
  </si>
  <si>
    <t xml:space="preserve">16A top </t>
  </si>
  <si>
    <t xml:space="preserve">2.5m m ss wire </t>
  </si>
  <si>
    <t xml:space="preserve">2.5 capacitor </t>
  </si>
  <si>
    <t xml:space="preserve">6A top pin cona </t>
  </si>
  <si>
    <t xml:space="preserve">Cona dp switch </t>
  </si>
  <si>
    <t xml:space="preserve">2500w infra </t>
  </si>
  <si>
    <t xml:space="preserve">9W charging light </t>
  </si>
  <si>
    <t xml:space="preserve">2 core wire </t>
  </si>
  <si>
    <t>2 pin top</t>
  </si>
  <si>
    <t xml:space="preserve">sada holder </t>
  </si>
  <si>
    <t xml:space="preserve">teplon tep </t>
  </si>
  <si>
    <t xml:space="preserve">8m plate jiva </t>
  </si>
  <si>
    <t>8 m sarface</t>
  </si>
  <si>
    <t xml:space="preserve">6a plug </t>
  </si>
  <si>
    <t xml:space="preserve">2 pin top </t>
  </si>
  <si>
    <t xml:space="preserve">4 mm ss wire </t>
  </si>
  <si>
    <t xml:space="preserve">tep </t>
  </si>
  <si>
    <t xml:space="preserve">240 led ww </t>
  </si>
  <si>
    <t xml:space="preserve">5a chok metal </t>
  </si>
  <si>
    <t xml:space="preserve">3 w sarface </t>
  </si>
  <si>
    <t xml:space="preserve">3.15 capacitor </t>
  </si>
  <si>
    <t xml:space="preserve">14 w sarface WH </t>
  </si>
  <si>
    <t xml:space="preserve">14w sarface 3 in 1 </t>
  </si>
  <si>
    <t xml:space="preserve">32A sp mcb legrand </t>
  </si>
  <si>
    <t>2 pin</t>
  </si>
  <si>
    <t xml:space="preserve">cona power box </t>
  </si>
  <si>
    <t xml:space="preserve">12 mm c clip </t>
  </si>
  <si>
    <t xml:space="preserve">6m platee </t>
  </si>
  <si>
    <t xml:space="preserve">4 '' round plate </t>
  </si>
  <si>
    <t xml:space="preserve">kessing patti </t>
  </si>
  <si>
    <t xml:space="preserve">35/8 sru </t>
  </si>
  <si>
    <t xml:space="preserve">grip </t>
  </si>
  <si>
    <t xml:space="preserve">18m sarface box </t>
  </si>
  <si>
    <t xml:space="preserve">16a jiva mini mcb </t>
  </si>
  <si>
    <t xml:space="preserve">4m sarface box </t>
  </si>
  <si>
    <t xml:space="preserve">2.5 mm rr cable </t>
  </si>
  <si>
    <t xml:space="preserve">1.5 mm rr cable </t>
  </si>
  <si>
    <t xml:space="preserve">A holder </t>
  </si>
  <si>
    <t xml:space="preserve">2 way k junction </t>
  </si>
  <si>
    <t xml:space="preserve">12+4 panel </t>
  </si>
  <si>
    <t xml:space="preserve">3w junction light </t>
  </si>
  <si>
    <t xml:space="preserve">18 m plate jiva </t>
  </si>
  <si>
    <t xml:space="preserve">flexible wire </t>
  </si>
  <si>
    <t xml:space="preserve">sru </t>
  </si>
  <si>
    <t xml:space="preserve">18m plate jiva </t>
  </si>
  <si>
    <t>indicator jiva</t>
  </si>
  <si>
    <t xml:space="preserve">2m regulator jiva </t>
  </si>
  <si>
    <t xml:space="preserve">16a plug jiva </t>
  </si>
  <si>
    <t xml:space="preserve">6a plug jiva </t>
  </si>
  <si>
    <t>4m plate jiva</t>
  </si>
  <si>
    <t xml:space="preserve"> 12m plate jiva </t>
  </si>
  <si>
    <t xml:space="preserve">9W charging light  ecolink </t>
  </si>
  <si>
    <t xml:space="preserve">16a top </t>
  </si>
  <si>
    <t>2000w bucket heater</t>
  </si>
  <si>
    <t xml:space="preserve">3m pancham </t>
  </si>
  <si>
    <t>32a cutout hindusathan</t>
  </si>
  <si>
    <t xml:space="preserve">9w light </t>
  </si>
  <si>
    <t xml:space="preserve">20w tub light </t>
  </si>
  <si>
    <t xml:space="preserve">v claim </t>
  </si>
  <si>
    <t xml:space="preserve">fasner </t>
  </si>
  <si>
    <t>15'' fan pipe</t>
  </si>
  <si>
    <t>12'' fan pipe</t>
  </si>
  <si>
    <t xml:space="preserve">120w flood light </t>
  </si>
  <si>
    <t xml:space="preserve">36w light eco </t>
  </si>
  <si>
    <t>16a mini mcb liwa</t>
  </si>
  <si>
    <t>wawa cona power box</t>
  </si>
  <si>
    <t>2way k junction</t>
  </si>
  <si>
    <t>4mm ss wire</t>
  </si>
  <si>
    <t>8m plate liwa</t>
  </si>
  <si>
    <t>6m plate liwa</t>
  </si>
  <si>
    <t xml:space="preserve">indicator liva </t>
  </si>
  <si>
    <t>flxiable wire</t>
  </si>
  <si>
    <t xml:space="preserve">2 pin </t>
  </si>
  <si>
    <t>sada 3 pin multy</t>
  </si>
  <si>
    <t xml:space="preserve">meain switch </t>
  </si>
  <si>
    <t>Shegdi coil</t>
  </si>
  <si>
    <t xml:space="preserve">18M pancham </t>
  </si>
  <si>
    <t xml:space="preserve">6A plug </t>
  </si>
  <si>
    <t>mini mcb liwa</t>
  </si>
  <si>
    <t>1m regulator</t>
  </si>
  <si>
    <t xml:space="preserve">indicator </t>
  </si>
  <si>
    <t xml:space="preserve">1mm rr </t>
  </si>
  <si>
    <t xml:space="preserve">sada switch </t>
  </si>
  <si>
    <t xml:space="preserve">male female </t>
  </si>
  <si>
    <t xml:space="preserve">18 m pancham </t>
  </si>
  <si>
    <t xml:space="preserve">ecolink fan </t>
  </si>
  <si>
    <t xml:space="preserve">12 w light </t>
  </si>
  <si>
    <t xml:space="preserve">6 m pancham </t>
  </si>
  <si>
    <t xml:space="preserve">2 way switch </t>
  </si>
  <si>
    <t xml:space="preserve">1m bell switch </t>
  </si>
  <si>
    <t xml:space="preserve">bell </t>
  </si>
  <si>
    <t xml:space="preserve">3 m panchan </t>
  </si>
  <si>
    <t xml:space="preserve">sell </t>
  </si>
  <si>
    <t xml:space="preserve">m sell </t>
  </si>
  <si>
    <t xml:space="preserve">a holder </t>
  </si>
  <si>
    <t xml:space="preserve">casing pati </t>
  </si>
  <si>
    <t xml:space="preserve">nita coil </t>
  </si>
  <si>
    <t xml:space="preserve">12m plate jiva </t>
  </si>
  <si>
    <t xml:space="preserve">6m plate jiva </t>
  </si>
  <si>
    <t>mini mcb jiva</t>
  </si>
  <si>
    <t xml:space="preserve">1m regulator </t>
  </si>
  <si>
    <t xml:space="preserve">sp mcb legrand </t>
  </si>
  <si>
    <t xml:space="preserve">32a dp mcb legrand </t>
  </si>
  <si>
    <t xml:space="preserve">4'' round plate </t>
  </si>
  <si>
    <t xml:space="preserve">fan round plate </t>
  </si>
  <si>
    <t xml:space="preserve">3w juncton light </t>
  </si>
  <si>
    <t xml:space="preserve">8+8 junction light </t>
  </si>
  <si>
    <t xml:space="preserve">dish wire </t>
  </si>
  <si>
    <t xml:space="preserve">speker wire </t>
  </si>
  <si>
    <t xml:space="preserve">1 mm rr wire </t>
  </si>
  <si>
    <t xml:space="preserve">2.5mm rr </t>
  </si>
  <si>
    <t xml:space="preserve">25 mm deep junction </t>
  </si>
  <si>
    <t xml:space="preserve">25mm fan box </t>
  </si>
  <si>
    <t xml:space="preserve">deep junction </t>
  </si>
  <si>
    <t xml:space="preserve">torch </t>
  </si>
  <si>
    <t xml:space="preserve">3w junction 3 in 1 </t>
  </si>
  <si>
    <t xml:space="preserve">chakri bord </t>
  </si>
  <si>
    <t>1.5 mm rr wire</t>
  </si>
  <si>
    <t xml:space="preserve">2.5 mm rr wire </t>
  </si>
  <si>
    <t xml:space="preserve">12m metal box </t>
  </si>
  <si>
    <t xml:space="preserve">6m  metal </t>
  </si>
  <si>
    <t xml:space="preserve">4m metal box </t>
  </si>
  <si>
    <t xml:space="preserve">25mm bend </t>
  </si>
  <si>
    <t>lmc pipe</t>
  </si>
  <si>
    <t xml:space="preserve">k patti </t>
  </si>
  <si>
    <t xml:space="preserve">12 m pancham </t>
  </si>
  <si>
    <t xml:space="preserve">6m pancham </t>
  </si>
  <si>
    <t xml:space="preserve">patti junction </t>
  </si>
  <si>
    <t xml:space="preserve">35/8 sru box </t>
  </si>
  <si>
    <t>50/8 sru</t>
  </si>
  <si>
    <t xml:space="preserve">25mm flexiable pipe </t>
  </si>
  <si>
    <t xml:space="preserve">cuttar </t>
  </si>
  <si>
    <t xml:space="preserve">9wcharging light </t>
  </si>
  <si>
    <t xml:space="preserve">mms pipe </t>
  </si>
  <si>
    <t>bend</t>
  </si>
  <si>
    <t xml:space="preserve">junction </t>
  </si>
  <si>
    <t xml:space="preserve">fan box </t>
  </si>
  <si>
    <t xml:space="preserve">1.mm rr wire </t>
  </si>
  <si>
    <t xml:space="preserve">150 mm cable tay </t>
  </si>
  <si>
    <t xml:space="preserve">0.5 w light </t>
  </si>
  <si>
    <t>rolex king hot plate</t>
  </si>
  <si>
    <t xml:space="preserve">6mm ss wire </t>
  </si>
  <si>
    <t xml:space="preserve">sada 6a plug </t>
  </si>
  <si>
    <t xml:space="preserve">17mm profile patti </t>
  </si>
  <si>
    <t>1.5 mm rrr wire</t>
  </si>
  <si>
    <t>2.5mm rr wire</t>
  </si>
  <si>
    <t xml:space="preserve">4 mm rr </t>
  </si>
  <si>
    <t xml:space="preserve">bend </t>
  </si>
  <si>
    <t xml:space="preserve">extention bord </t>
  </si>
  <si>
    <t xml:space="preserve">2.5mm ss wire </t>
  </si>
  <si>
    <t>tep</t>
  </si>
  <si>
    <t xml:space="preserve">15w panel </t>
  </si>
  <si>
    <t xml:space="preserve">3w cob </t>
  </si>
  <si>
    <t xml:space="preserve">5w light </t>
  </si>
  <si>
    <t xml:space="preserve">4m plate liva </t>
  </si>
  <si>
    <t xml:space="preserve">16A sp mcb </t>
  </si>
  <si>
    <t xml:space="preserve">polycap bldc fan </t>
  </si>
  <si>
    <t xml:space="preserve">1.5 mm rr wire </t>
  </si>
  <si>
    <t xml:space="preserve">1 inch sru </t>
  </si>
  <si>
    <t xml:space="preserve">1.5 sru </t>
  </si>
  <si>
    <t xml:space="preserve">2 sru </t>
  </si>
  <si>
    <t xml:space="preserve">18m palte jiva </t>
  </si>
  <si>
    <t xml:space="preserve">4m plate jiva </t>
  </si>
  <si>
    <t xml:space="preserve">4m foot light </t>
  </si>
  <si>
    <t xml:space="preserve">mitar bord </t>
  </si>
  <si>
    <t xml:space="preserve">dp switch </t>
  </si>
  <si>
    <t xml:space="preserve">mcb box 4m </t>
  </si>
  <si>
    <t xml:space="preserve">1m regulator jiva </t>
  </si>
  <si>
    <t xml:space="preserve">indicator jiva </t>
  </si>
  <si>
    <t xml:space="preserve">15'' inch fan box </t>
  </si>
  <si>
    <t xml:space="preserve">b holder </t>
  </si>
  <si>
    <t xml:space="preserve">cr </t>
  </si>
  <si>
    <t xml:space="preserve">cesing 1 way </t>
  </si>
  <si>
    <t xml:space="preserve">cesing patti </t>
  </si>
  <si>
    <t>0.5 light</t>
  </si>
  <si>
    <t xml:space="preserve">ding dong bell </t>
  </si>
  <si>
    <t xml:space="preserve">32a sada cutout </t>
  </si>
  <si>
    <t xml:space="preserve">sp 32a cutout </t>
  </si>
  <si>
    <t xml:space="preserve">1/2 mvb box </t>
  </si>
  <si>
    <t xml:space="preserve">3 liter geyser </t>
  </si>
  <si>
    <t xml:space="preserve">1.5 mm rr </t>
  </si>
  <si>
    <t xml:space="preserve">2.5 mm rr </t>
  </si>
  <si>
    <t xml:space="preserve">25/6 sru </t>
  </si>
  <si>
    <t xml:space="preserve">mix sru </t>
  </si>
  <si>
    <t xml:space="preserve">50/8 sru </t>
  </si>
  <si>
    <t xml:space="preserve">75/8 sru </t>
  </si>
  <si>
    <t xml:space="preserve">24'' fan </t>
  </si>
  <si>
    <t xml:space="preserve">22 w eco link tublight </t>
  </si>
  <si>
    <t xml:space="preserve">indictor </t>
  </si>
  <si>
    <t xml:space="preserve">1 mm harison wire </t>
  </si>
  <si>
    <t xml:space="preserve">9w ecolink light </t>
  </si>
  <si>
    <t>infrared</t>
  </si>
  <si>
    <t xml:space="preserve">3 inch sru </t>
  </si>
  <si>
    <t xml:space="preserve">csing 2 way </t>
  </si>
  <si>
    <t xml:space="preserve">6A plug jiva </t>
  </si>
  <si>
    <t xml:space="preserve">mini mcb jiva </t>
  </si>
  <si>
    <t xml:space="preserve">bell witch jiva </t>
  </si>
  <si>
    <t xml:space="preserve">18M plate jiva </t>
  </si>
  <si>
    <t xml:space="preserve">40w tub lighjt </t>
  </si>
  <si>
    <t>15w 3 in 1 sarface</t>
  </si>
  <si>
    <t xml:space="preserve">14w pvc sarface </t>
  </si>
  <si>
    <t>22w tub light</t>
  </si>
  <si>
    <t xml:space="preserve">36w ecolink light </t>
  </si>
  <si>
    <t xml:space="preserve">12m pancham </t>
  </si>
  <si>
    <t>12w light</t>
  </si>
  <si>
    <t xml:space="preserve">15'' fan pipe </t>
  </si>
  <si>
    <t xml:space="preserve">v clam </t>
  </si>
  <si>
    <t>9w charging light ecolink</t>
  </si>
  <si>
    <t xml:space="preserve">14w charging light ecolink </t>
  </si>
  <si>
    <t>9w charging light halonex</t>
  </si>
  <si>
    <t>shegadi</t>
  </si>
  <si>
    <t xml:space="preserve">4mm ss wire </t>
  </si>
  <si>
    <t>12m pancha</t>
  </si>
  <si>
    <t xml:space="preserve">light tree heater </t>
  </si>
  <si>
    <t xml:space="preserve">18m metal </t>
  </si>
  <si>
    <t xml:space="preserve">8m metal </t>
  </si>
  <si>
    <t xml:space="preserve">25mm lmc pipe </t>
  </si>
  <si>
    <t>6/8 mcb box</t>
  </si>
  <si>
    <t xml:space="preserve">tapariya testor </t>
  </si>
  <si>
    <t xml:space="preserve">c clip </t>
  </si>
  <si>
    <t xml:space="preserve">tapriya testor </t>
  </si>
  <si>
    <t>tapariya cutter</t>
  </si>
  <si>
    <t xml:space="preserve">1.mm rr </t>
  </si>
  <si>
    <t xml:space="preserve">2.5 mm </t>
  </si>
  <si>
    <t xml:space="preserve">2pin </t>
  </si>
  <si>
    <t xml:space="preserve">polo nal </t>
  </si>
  <si>
    <t xml:space="preserve">1.5mm </t>
  </si>
  <si>
    <t xml:space="preserve">20w light </t>
  </si>
  <si>
    <t xml:space="preserve">mini mcb </t>
  </si>
  <si>
    <t xml:space="preserve">incicator </t>
  </si>
  <si>
    <t xml:space="preserve">vijeta intraed </t>
  </si>
  <si>
    <t>flexible wire</t>
  </si>
  <si>
    <t xml:space="preserve">0.5 light </t>
  </si>
  <si>
    <t>4.mm ss wire</t>
  </si>
  <si>
    <t xml:space="preserve">harison switch </t>
  </si>
  <si>
    <t xml:space="preserve">4m pancham </t>
  </si>
  <si>
    <t xml:space="preserve">1way cuntion </t>
  </si>
  <si>
    <t xml:space="preserve">10A chok </t>
  </si>
  <si>
    <t xml:space="preserve">240 led strip </t>
  </si>
  <si>
    <t xml:space="preserve">3m pacham </t>
  </si>
  <si>
    <t>adaptor</t>
  </si>
  <si>
    <t xml:space="preserve">sada plug </t>
  </si>
  <si>
    <t>8m panchm</t>
  </si>
  <si>
    <t xml:space="preserve">2pin plug </t>
  </si>
  <si>
    <t>3m sarface box</t>
  </si>
  <si>
    <t xml:space="preserve">3m plate jiva </t>
  </si>
  <si>
    <t>indicator</t>
  </si>
  <si>
    <t xml:space="preserve">crompton fan </t>
  </si>
  <si>
    <t>Grand Total</t>
  </si>
  <si>
    <t>Product</t>
  </si>
  <si>
    <t>Sum of Total</t>
  </si>
  <si>
    <t>Product Name(RAW)</t>
  </si>
  <si>
    <t xml:space="preserve">6A Switch jiva </t>
  </si>
  <si>
    <t xml:space="preserve">16A Switch jiva </t>
  </si>
  <si>
    <t xml:space="preserve">6A Switch </t>
  </si>
  <si>
    <t xml:space="preserve">6A Switch liwa </t>
  </si>
  <si>
    <t xml:space="preserve">16A Switch </t>
  </si>
  <si>
    <t>16A Switch</t>
  </si>
  <si>
    <t xml:space="preserve">Shegdi </t>
  </si>
  <si>
    <t xml:space="preserve"> Shegdi plate </t>
  </si>
  <si>
    <t>Shegdi</t>
  </si>
  <si>
    <t>1 Mm Rr Wire</t>
  </si>
  <si>
    <t>1.5 Mm Rr</t>
  </si>
  <si>
    <t>1.5 Mm Rr Cable</t>
  </si>
  <si>
    <t>1.5 Mm Rr Wire</t>
  </si>
  <si>
    <t>1.5 Mm Rrr Wire</t>
  </si>
  <si>
    <t>1Mm Rr</t>
  </si>
  <si>
    <t>2.5 Mm Rr</t>
  </si>
  <si>
    <t>2.5 Mm Rr Wire</t>
  </si>
  <si>
    <t>2.5 Mm Ss Wire</t>
  </si>
  <si>
    <t>2.5Mm Rr Wire</t>
  </si>
  <si>
    <t>4'' Round Plate</t>
  </si>
  <si>
    <t>6A Plug</t>
  </si>
  <si>
    <t>6A Switch</t>
  </si>
  <si>
    <t>6A Switch Jiva</t>
  </si>
  <si>
    <t>6Mm Ss Wire</t>
  </si>
  <si>
    <t>A Holder</t>
  </si>
  <si>
    <t>Crown 2500W Infra</t>
  </si>
  <si>
    <t>Ecolink Fan</t>
  </si>
  <si>
    <t>Polycap Bldc Fan</t>
  </si>
  <si>
    <t>Tep</t>
  </si>
  <si>
    <t>Day</t>
  </si>
  <si>
    <t>Daily Sales</t>
  </si>
  <si>
    <t>Product-wise Sales</t>
  </si>
  <si>
    <t xml:space="preserve"> plate </t>
  </si>
  <si>
    <t>Sum of Quantity</t>
  </si>
  <si>
    <t>Thursday</t>
  </si>
  <si>
    <t>Sunday</t>
  </si>
  <si>
    <t>Tuesday</t>
  </si>
  <si>
    <t>Wednesday</t>
  </si>
  <si>
    <t>Monday</t>
  </si>
  <si>
    <t>Saturday</t>
  </si>
  <si>
    <t>Friday</t>
  </si>
  <si>
    <t>Day Wise Sales</t>
  </si>
  <si>
    <t>Days</t>
  </si>
  <si>
    <t>Week</t>
  </si>
  <si>
    <t>Week 1</t>
  </si>
  <si>
    <t>Week 2</t>
  </si>
  <si>
    <t>Week 3</t>
  </si>
  <si>
    <t>Week 4</t>
  </si>
  <si>
    <t>Week 5</t>
  </si>
  <si>
    <t xml:space="preserve">25Mm Junction </t>
  </si>
  <si>
    <t>Product Wise Quanity</t>
  </si>
  <si>
    <t xml:space="preserve">Weekly Sales </t>
  </si>
  <si>
    <t>Total Sales</t>
  </si>
  <si>
    <t>Date Range</t>
  </si>
  <si>
    <t xml:space="preserve">                                           ELECTRICAL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</si>
</sst>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4"/>
      <name val="Calibri"/>
      <family val="2"/>
      <scheme val="minor"/>
    </font>
    <font>
      <sz val="14"/>
      <color theme="1"/>
      <name val="Calibri"/>
      <family val="2"/>
      <scheme val="minor"/>
    </font>
    <font>
      <b/>
      <sz val="14"/>
      <color theme="0"/>
      <name val="Calibri"/>
      <family val="2"/>
      <scheme val="minor"/>
    </font>
    <font>
      <b/>
      <sz val="24"/>
      <color theme="1"/>
      <name val="Aptos Narrow"/>
      <family val="2"/>
    </font>
    <font>
      <sz val="11"/>
      <color theme="4"/>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14" fontId="2" fillId="0" borderId="1" xfId="0" applyNumberFormat="1" applyFont="1" applyBorder="1"/>
    <xf numFmtId="0" fontId="2" fillId="0" borderId="1" xfId="0" applyFont="1" applyBorder="1"/>
    <xf numFmtId="0" fontId="2" fillId="0" borderId="0" xfId="0" applyFont="1"/>
    <xf numFmtId="0" fontId="2" fillId="0" borderId="2" xfId="0" applyFont="1" applyBorder="1"/>
    <xf numFmtId="14" fontId="2" fillId="0" borderId="0" xfId="0" applyNumberFormat="1" applyFont="1"/>
    <xf numFmtId="0" fontId="2" fillId="0" borderId="3" xfId="0" applyFont="1" applyBorder="1"/>
    <xf numFmtId="0" fontId="1" fillId="2" borderId="4" xfId="0" applyFont="1" applyFill="1" applyBorder="1" applyAlignment="1">
      <alignment horizontal="center" vertical="center"/>
    </xf>
    <xf numFmtId="14" fontId="1" fillId="2" borderId="4"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4" fillId="3" borderId="0" xfId="0" applyFont="1" applyFill="1" applyAlignment="1">
      <alignment horizontal="center" vertical="center"/>
    </xf>
    <xf numFmtId="0" fontId="5" fillId="3" borderId="0" xfId="0" applyFont="1" applyFill="1" applyAlignment="1">
      <alignment horizontal="center"/>
    </xf>
    <xf numFmtId="0" fontId="3" fillId="3" borderId="0" xfId="0" applyFont="1" applyFill="1" applyAlignment="1">
      <alignment horizontal="center"/>
    </xf>
    <xf numFmtId="0" fontId="0" fillId="0" borderId="0" xfId="0" applyNumberFormat="1"/>
  </cellXfs>
  <cellStyles count="1">
    <cellStyle name="Normal" xfId="0" builtinId="0"/>
  </cellStyles>
  <dxfs count="13">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19" formatCode="dd/mm/yyyy"/>
    </dxf>
    <dxf>
      <border outline="0">
        <top style="thin">
          <color indexed="64"/>
        </top>
      </border>
    </dxf>
    <dxf>
      <font>
        <b val="0"/>
        <i val="0"/>
        <strike val="0"/>
        <condense val="0"/>
        <extend val="0"/>
        <outline val="0"/>
        <shadow val="0"/>
        <u val="none"/>
        <vertAlign val="baseline"/>
        <sz val="14"/>
        <color theme="1"/>
        <name val="Calibri"/>
        <family val="2"/>
        <scheme val="minor"/>
      </font>
    </dxf>
    <dxf>
      <border outline="0">
        <bottom style="thin">
          <color indexed="64"/>
        </bottom>
      </border>
    </dxf>
    <dxf>
      <font>
        <b/>
        <i val="0"/>
        <strike val="0"/>
        <condense val="0"/>
        <extend val="0"/>
        <outline val="0"/>
        <shadow val="0"/>
        <u val="none"/>
        <vertAlign val="baseline"/>
        <sz val="14"/>
        <color theme="4"/>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[RecordsOfJune.xlsx]Pivot Sheet!PivotTable1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Sheet'!$B$5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Sheet'!$A$6:$A$33</c:f>
              <c:strCache>
                <c:ptCount val="27"/>
                <c:pt idx="0">
                  <c:v>01-06-2026</c:v>
                </c:pt>
                <c:pt idx="1">
                  <c:v>02-06-2026</c:v>
                </c:pt>
                <c:pt idx="2">
                  <c:v>03-06-2026</c:v>
                </c:pt>
                <c:pt idx="3">
                  <c:v>04-06-2026</c:v>
                </c:pt>
                <c:pt idx="4">
                  <c:v>05-06-2026</c:v>
                </c:pt>
                <c:pt idx="5">
                  <c:v>06-06-2026</c:v>
                </c:pt>
                <c:pt idx="6">
                  <c:v>07-06-2026</c:v>
                </c:pt>
                <c:pt idx="7">
                  <c:v>08-06-2026</c:v>
                </c:pt>
                <c:pt idx="8">
                  <c:v>11-06-2026</c:v>
                </c:pt>
                <c:pt idx="9">
                  <c:v>12-06-2026</c:v>
                </c:pt>
                <c:pt idx="10">
                  <c:v>13-06-2026</c:v>
                </c:pt>
                <c:pt idx="11">
                  <c:v>14-06-2026</c:v>
                </c:pt>
                <c:pt idx="12">
                  <c:v>15-06-2026</c:v>
                </c:pt>
                <c:pt idx="13">
                  <c:v>16-06-2026</c:v>
                </c:pt>
                <c:pt idx="14">
                  <c:v>17-06-2026</c:v>
                </c:pt>
                <c:pt idx="15">
                  <c:v>18-06-2026</c:v>
                </c:pt>
                <c:pt idx="16">
                  <c:v>19-06-2026</c:v>
                </c:pt>
                <c:pt idx="17">
                  <c:v>20-06-2026</c:v>
                </c:pt>
                <c:pt idx="18">
                  <c:v>22-06-2026</c:v>
                </c:pt>
                <c:pt idx="19">
                  <c:v>23-06-2026</c:v>
                </c:pt>
                <c:pt idx="20">
                  <c:v>24-06-2026</c:v>
                </c:pt>
                <c:pt idx="21">
                  <c:v>25-06-2026</c:v>
                </c:pt>
                <c:pt idx="22">
                  <c:v>26-06-2026</c:v>
                </c:pt>
                <c:pt idx="23">
                  <c:v>27-06-2026</c:v>
                </c:pt>
                <c:pt idx="24">
                  <c:v>28-06-2026</c:v>
                </c:pt>
                <c:pt idx="25">
                  <c:v>29-06-2026</c:v>
                </c:pt>
                <c:pt idx="26">
                  <c:v>30-06-2026</c:v>
                </c:pt>
              </c:strCache>
            </c:strRef>
          </c:cat>
          <c:val>
            <c:numRef>
              <c:f>'Pivot Sheet'!$B$6:$B$33</c:f>
              <c:numCache>
                <c:formatCode>General</c:formatCode>
                <c:ptCount val="27"/>
                <c:pt idx="0">
                  <c:v>5620</c:v>
                </c:pt>
                <c:pt idx="1">
                  <c:v>3980</c:v>
                </c:pt>
                <c:pt idx="2">
                  <c:v>5910</c:v>
                </c:pt>
                <c:pt idx="3">
                  <c:v>7715.8</c:v>
                </c:pt>
                <c:pt idx="4">
                  <c:v>6850</c:v>
                </c:pt>
                <c:pt idx="5">
                  <c:v>1855</c:v>
                </c:pt>
                <c:pt idx="6">
                  <c:v>31862</c:v>
                </c:pt>
                <c:pt idx="7">
                  <c:v>1839</c:v>
                </c:pt>
                <c:pt idx="8">
                  <c:v>37610</c:v>
                </c:pt>
                <c:pt idx="9">
                  <c:v>7470</c:v>
                </c:pt>
                <c:pt idx="10">
                  <c:v>1209</c:v>
                </c:pt>
                <c:pt idx="11">
                  <c:v>9935</c:v>
                </c:pt>
                <c:pt idx="12">
                  <c:v>1630</c:v>
                </c:pt>
                <c:pt idx="13">
                  <c:v>26455</c:v>
                </c:pt>
                <c:pt idx="14">
                  <c:v>18080</c:v>
                </c:pt>
                <c:pt idx="15">
                  <c:v>33782</c:v>
                </c:pt>
                <c:pt idx="16">
                  <c:v>1150</c:v>
                </c:pt>
                <c:pt idx="17">
                  <c:v>15744</c:v>
                </c:pt>
                <c:pt idx="18">
                  <c:v>5190</c:v>
                </c:pt>
                <c:pt idx="19">
                  <c:v>12705</c:v>
                </c:pt>
                <c:pt idx="20">
                  <c:v>2635</c:v>
                </c:pt>
                <c:pt idx="21">
                  <c:v>775</c:v>
                </c:pt>
                <c:pt idx="22">
                  <c:v>15596</c:v>
                </c:pt>
                <c:pt idx="23">
                  <c:v>5118</c:v>
                </c:pt>
                <c:pt idx="24">
                  <c:v>3007</c:v>
                </c:pt>
                <c:pt idx="25">
                  <c:v>1318</c:v>
                </c:pt>
                <c:pt idx="26">
                  <c:v>2790</c:v>
                </c:pt>
              </c:numCache>
            </c:numRef>
          </c:val>
          <c:smooth val="0"/>
          <c:extLst>
            <c:ext xmlns:c16="http://schemas.microsoft.com/office/drawing/2014/chart" uri="{C3380CC4-5D6E-409C-BE32-E72D297353CC}">
              <c16:uniqueId val="{00000000-BA9A-49B1-BF51-072D3C7DD92A}"/>
            </c:ext>
          </c:extLst>
        </c:ser>
        <c:dLbls>
          <c:showLegendKey val="0"/>
          <c:showVal val="0"/>
          <c:showCatName val="0"/>
          <c:showSerName val="0"/>
          <c:showPercent val="0"/>
          <c:showBubbleSize val="0"/>
        </c:dLbls>
        <c:marker val="1"/>
        <c:smooth val="0"/>
        <c:axId val="1321220655"/>
        <c:axId val="667501487"/>
      </c:lineChart>
      <c:catAx>
        <c:axId val="132122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01487"/>
        <c:crosses val="autoZero"/>
        <c:auto val="1"/>
        <c:lblAlgn val="ctr"/>
        <c:lblOffset val="100"/>
        <c:noMultiLvlLbl val="0"/>
      </c:catAx>
      <c:valAx>
        <c:axId val="66750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2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[RecordsOfJune.xlsx]Pivot Sheet!PivotTable3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98790461159621"/>
          <c:y val="0.20748081325124548"/>
          <c:w val="0.61920380646043893"/>
          <c:h val="0.67425367393619684"/>
        </c:manualLayout>
      </c:layout>
      <c:barChart>
        <c:barDir val="bar"/>
        <c:grouping val="clustered"/>
        <c:varyColors val="0"/>
        <c:ser>
          <c:idx val="0"/>
          <c:order val="0"/>
          <c:tx>
            <c:strRef>
              <c:f>'Pivot Sheet'!$E$5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Sheet'!$D$6:$D$16</c:f>
              <c:strCache>
                <c:ptCount val="10"/>
                <c:pt idx="0">
                  <c:v>1.5 Mm Rr</c:v>
                </c:pt>
                <c:pt idx="1">
                  <c:v>1Mm Rr</c:v>
                </c:pt>
                <c:pt idx="2">
                  <c:v>Crown 2500W Infra</c:v>
                </c:pt>
                <c:pt idx="3">
                  <c:v>1.5 Mm Rrr Wire</c:v>
                </c:pt>
                <c:pt idx="4">
                  <c:v>2.5Mm Rr Wire</c:v>
                </c:pt>
                <c:pt idx="5">
                  <c:v>Polycap Bldc Fan</c:v>
                </c:pt>
                <c:pt idx="6">
                  <c:v>Ecolink Fan</c:v>
                </c:pt>
                <c:pt idx="7">
                  <c:v>1.5 Mm Rr Wire</c:v>
                </c:pt>
                <c:pt idx="8">
                  <c:v>2.5 Mm Rr Wire</c:v>
                </c:pt>
                <c:pt idx="9">
                  <c:v>1 Mm Rr Wire</c:v>
                </c:pt>
              </c:strCache>
            </c:strRef>
          </c:cat>
          <c:val>
            <c:numRef>
              <c:f>'Pivot Sheet'!$E$6:$E$16</c:f>
              <c:numCache>
                <c:formatCode>General</c:formatCode>
                <c:ptCount val="10"/>
                <c:pt idx="0">
                  <c:v>4740</c:v>
                </c:pt>
                <c:pt idx="1">
                  <c:v>4970</c:v>
                </c:pt>
                <c:pt idx="2">
                  <c:v>5890</c:v>
                </c:pt>
                <c:pt idx="3">
                  <c:v>6900</c:v>
                </c:pt>
                <c:pt idx="4">
                  <c:v>7300</c:v>
                </c:pt>
                <c:pt idx="5">
                  <c:v>7400</c:v>
                </c:pt>
                <c:pt idx="6">
                  <c:v>11050</c:v>
                </c:pt>
                <c:pt idx="7">
                  <c:v>11780</c:v>
                </c:pt>
                <c:pt idx="8">
                  <c:v>21900</c:v>
                </c:pt>
                <c:pt idx="9">
                  <c:v>37254</c:v>
                </c:pt>
              </c:numCache>
            </c:numRef>
          </c:val>
          <c:extLst>
            <c:ext xmlns:c16="http://schemas.microsoft.com/office/drawing/2014/chart" uri="{C3380CC4-5D6E-409C-BE32-E72D297353CC}">
              <c16:uniqueId val="{00000000-CACF-478E-8F12-2D12C0CDAAAF}"/>
            </c:ext>
          </c:extLst>
        </c:ser>
        <c:dLbls>
          <c:dLblPos val="outEnd"/>
          <c:showLegendKey val="0"/>
          <c:showVal val="1"/>
          <c:showCatName val="0"/>
          <c:showSerName val="0"/>
          <c:showPercent val="0"/>
          <c:showBubbleSize val="0"/>
        </c:dLbls>
        <c:gapWidth val="182"/>
        <c:axId val="108837920"/>
        <c:axId val="667480367"/>
      </c:barChart>
      <c:catAx>
        <c:axId val="10883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480367"/>
        <c:crosses val="autoZero"/>
        <c:auto val="1"/>
        <c:lblAlgn val="ctr"/>
        <c:lblOffset val="100"/>
        <c:noMultiLvlLbl val="0"/>
      </c:catAx>
      <c:valAx>
        <c:axId val="6674803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[RecordsOfJune.xlsx]Pivot Sheet!PivotTable4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Products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1637528874997475"/>
          <c:w val="0.83767825896762904"/>
          <c:h val="0.49287931299642856"/>
        </c:manualLayout>
      </c:layout>
      <c:barChart>
        <c:barDir val="col"/>
        <c:grouping val="clustered"/>
        <c:varyColors val="0"/>
        <c:ser>
          <c:idx val="0"/>
          <c:order val="0"/>
          <c:tx>
            <c:strRef>
              <c:f>'Pivot Sheet'!$H$5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Sheet'!$G$6:$G$16</c:f>
              <c:strCache>
                <c:ptCount val="10"/>
                <c:pt idx="0">
                  <c:v>1.5 Mm Rr Cable</c:v>
                </c:pt>
                <c:pt idx="1">
                  <c:v>A Holder</c:v>
                </c:pt>
                <c:pt idx="2">
                  <c:v>2.5 Mm Ss Wire</c:v>
                </c:pt>
                <c:pt idx="3">
                  <c:v>Tep</c:v>
                </c:pt>
                <c:pt idx="4">
                  <c:v>6Mm Ss Wire</c:v>
                </c:pt>
                <c:pt idx="5">
                  <c:v>6A Plug</c:v>
                </c:pt>
                <c:pt idx="6">
                  <c:v>2.5 Mm Rr</c:v>
                </c:pt>
                <c:pt idx="7">
                  <c:v>4'' Round Plate</c:v>
                </c:pt>
                <c:pt idx="8">
                  <c:v>6A Switch</c:v>
                </c:pt>
                <c:pt idx="9">
                  <c:v>6A Switch Jiva</c:v>
                </c:pt>
              </c:strCache>
            </c:strRef>
          </c:cat>
          <c:val>
            <c:numRef>
              <c:f>'Pivot Sheet'!$H$6:$H$16</c:f>
              <c:numCache>
                <c:formatCode>General</c:formatCode>
                <c:ptCount val="10"/>
                <c:pt idx="0">
                  <c:v>53</c:v>
                </c:pt>
                <c:pt idx="1">
                  <c:v>59</c:v>
                </c:pt>
                <c:pt idx="2">
                  <c:v>72</c:v>
                </c:pt>
                <c:pt idx="3">
                  <c:v>84</c:v>
                </c:pt>
                <c:pt idx="4">
                  <c:v>90</c:v>
                </c:pt>
                <c:pt idx="5">
                  <c:v>99</c:v>
                </c:pt>
                <c:pt idx="6">
                  <c:v>105</c:v>
                </c:pt>
                <c:pt idx="7">
                  <c:v>115</c:v>
                </c:pt>
                <c:pt idx="8">
                  <c:v>126</c:v>
                </c:pt>
                <c:pt idx="9">
                  <c:v>189</c:v>
                </c:pt>
              </c:numCache>
            </c:numRef>
          </c:val>
          <c:extLst>
            <c:ext xmlns:c16="http://schemas.microsoft.com/office/drawing/2014/chart" uri="{C3380CC4-5D6E-409C-BE32-E72D297353CC}">
              <c16:uniqueId val="{00000000-FDFA-4268-9333-77793197FF6E}"/>
            </c:ext>
          </c:extLst>
        </c:ser>
        <c:dLbls>
          <c:dLblPos val="outEnd"/>
          <c:showLegendKey val="0"/>
          <c:showVal val="1"/>
          <c:showCatName val="0"/>
          <c:showSerName val="0"/>
          <c:showPercent val="0"/>
          <c:showBubbleSize val="0"/>
        </c:dLbls>
        <c:gapWidth val="219"/>
        <c:overlap val="-27"/>
        <c:axId val="407835264"/>
        <c:axId val="515442960"/>
      </c:barChart>
      <c:catAx>
        <c:axId val="407835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5442960"/>
        <c:crosses val="autoZero"/>
        <c:auto val="1"/>
        <c:lblAlgn val="ctr"/>
        <c:lblOffset val="100"/>
        <c:noMultiLvlLbl val="0"/>
      </c:catAx>
      <c:valAx>
        <c:axId val="51544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783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[RecordsOfJune.xlsx]Pivot Sheet!PivotTable5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02939312652"/>
          <c:y val="0.22459221981652663"/>
          <c:w val="0.836939913754985"/>
          <c:h val="0.55538082797225119"/>
        </c:manualLayout>
      </c:layout>
      <c:barChart>
        <c:barDir val="col"/>
        <c:grouping val="clustered"/>
        <c:varyColors val="0"/>
        <c:ser>
          <c:idx val="0"/>
          <c:order val="0"/>
          <c:tx>
            <c:strRef>
              <c:f>'Pivot Sheet'!$N$5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Sheet'!$M$6:$M$11</c:f>
              <c:strCache>
                <c:ptCount val="5"/>
                <c:pt idx="0">
                  <c:v>Week 3</c:v>
                </c:pt>
                <c:pt idx="1">
                  <c:v>Week 1</c:v>
                </c:pt>
                <c:pt idx="2">
                  <c:v>Week 2</c:v>
                </c:pt>
                <c:pt idx="3">
                  <c:v>Week 4</c:v>
                </c:pt>
                <c:pt idx="4">
                  <c:v>Week 5</c:v>
                </c:pt>
              </c:strCache>
            </c:strRef>
          </c:cat>
          <c:val>
            <c:numRef>
              <c:f>'Pivot Sheet'!$N$6:$N$11</c:f>
              <c:numCache>
                <c:formatCode>General</c:formatCode>
                <c:ptCount val="5"/>
                <c:pt idx="0">
                  <c:v>96841</c:v>
                </c:pt>
                <c:pt idx="1">
                  <c:v>63792.800000000003</c:v>
                </c:pt>
                <c:pt idx="2">
                  <c:v>58063</c:v>
                </c:pt>
                <c:pt idx="3">
                  <c:v>45026</c:v>
                </c:pt>
                <c:pt idx="4">
                  <c:v>4108</c:v>
                </c:pt>
              </c:numCache>
            </c:numRef>
          </c:val>
          <c:extLst>
            <c:ext xmlns:c16="http://schemas.microsoft.com/office/drawing/2014/chart" uri="{C3380CC4-5D6E-409C-BE32-E72D297353CC}">
              <c16:uniqueId val="{00000000-4F45-4123-A5FF-D8AAC7031F82}"/>
            </c:ext>
          </c:extLst>
        </c:ser>
        <c:dLbls>
          <c:dLblPos val="outEnd"/>
          <c:showLegendKey val="0"/>
          <c:showVal val="1"/>
          <c:showCatName val="0"/>
          <c:showSerName val="0"/>
          <c:showPercent val="0"/>
          <c:showBubbleSize val="0"/>
        </c:dLbls>
        <c:gapWidth val="219"/>
        <c:overlap val="-27"/>
        <c:axId val="554548000"/>
        <c:axId val="541828176"/>
      </c:barChart>
      <c:catAx>
        <c:axId val="5545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28176"/>
        <c:crosses val="autoZero"/>
        <c:auto val="1"/>
        <c:lblAlgn val="ctr"/>
        <c:lblOffset val="100"/>
        <c:noMultiLvlLbl val="0"/>
      </c:catAx>
      <c:valAx>
        <c:axId val="54182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54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[RecordsOfJune.xlsx]Pivot Sheet!PivotTable7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Sheet'!$K$5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7D-40F3-A46C-3D311A9F88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7D-40F3-A46C-3D311A9F88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7D-40F3-A46C-3D311A9F88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7D-40F3-A46C-3D311A9F88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7D-40F3-A46C-3D311A9F88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7D-40F3-A46C-3D311A9F88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B7D-40F3-A46C-3D311A9F88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Sheet'!$J$6:$J$13</c:f>
              <c:strCache>
                <c:ptCount val="7"/>
                <c:pt idx="0">
                  <c:v>Sunday</c:v>
                </c:pt>
                <c:pt idx="1">
                  <c:v>Monday</c:v>
                </c:pt>
                <c:pt idx="2">
                  <c:v>Tuesday</c:v>
                </c:pt>
                <c:pt idx="3">
                  <c:v>Wednesday</c:v>
                </c:pt>
                <c:pt idx="4">
                  <c:v>Thursday</c:v>
                </c:pt>
                <c:pt idx="5">
                  <c:v>Friday</c:v>
                </c:pt>
                <c:pt idx="6">
                  <c:v>Saturday</c:v>
                </c:pt>
              </c:strCache>
            </c:strRef>
          </c:cat>
          <c:val>
            <c:numRef>
              <c:f>'Pivot Sheet'!$K$6:$K$13</c:f>
              <c:numCache>
                <c:formatCode>General</c:formatCode>
                <c:ptCount val="7"/>
                <c:pt idx="0">
                  <c:v>44804</c:v>
                </c:pt>
                <c:pt idx="1">
                  <c:v>15597</c:v>
                </c:pt>
                <c:pt idx="2">
                  <c:v>45930</c:v>
                </c:pt>
                <c:pt idx="3">
                  <c:v>26625</c:v>
                </c:pt>
                <c:pt idx="4">
                  <c:v>79882.8</c:v>
                </c:pt>
                <c:pt idx="5">
                  <c:v>31066</c:v>
                </c:pt>
                <c:pt idx="6">
                  <c:v>23926</c:v>
                </c:pt>
              </c:numCache>
            </c:numRef>
          </c:val>
          <c:extLst>
            <c:ext xmlns:c16="http://schemas.microsoft.com/office/drawing/2014/chart" uri="{C3380CC4-5D6E-409C-BE32-E72D297353CC}">
              <c16:uniqueId val="{0000000E-0B7D-40F3-A46C-3D311A9F88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89443317332488"/>
          <c:y val="0.19831622105645036"/>
          <c:w val="0.29176018929948949"/>
          <c:h val="0.60289046799150059"/>
        </c:manualLayout>
      </c:layout>
      <c:overlay val="0"/>
      <c:spPr>
        <a:noFill/>
        <a:ln>
          <a:noFill/>
        </a:ln>
        <a:effectLst/>
      </c:spPr>
      <c:txPr>
        <a:bodyPr rot="0" spcFirstLastPara="1" vertOverflow="ellipsis" vert="horz" wrap="square" anchor="ctr" anchorCtr="1"/>
        <a:lstStyle/>
        <a:p>
          <a:pPr>
            <a:defRPr sz="800" b="1" i="0" u="none" strike="noStrike" kern="1200"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xdr:colOff>
      <xdr:row>2</xdr:row>
      <xdr:rowOff>180975</xdr:rowOff>
    </xdr:from>
    <xdr:to>
      <xdr:col>1</xdr:col>
      <xdr:colOff>600075</xdr:colOff>
      <xdr:row>6</xdr:row>
      <xdr:rowOff>180975</xdr:rowOff>
    </xdr:to>
    <xdr:sp macro="" textlink="">
      <xdr:nvSpPr>
        <xdr:cNvPr id="3" name="Rectangle 2">
          <a:extLst>
            <a:ext uri="{FF2B5EF4-FFF2-40B4-BE49-F238E27FC236}">
              <a16:creationId xmlns:a16="http://schemas.microsoft.com/office/drawing/2014/main" id="{FC60E9E5-5112-A0E9-73BC-6413D1441767}"/>
            </a:ext>
          </a:extLst>
        </xdr:cNvPr>
        <xdr:cNvSpPr/>
      </xdr:nvSpPr>
      <xdr:spPr>
        <a:xfrm>
          <a:off x="9524" y="561975"/>
          <a:ext cx="1200151" cy="76200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a:t>
          </a:r>
          <a:r>
            <a:rPr lang="en-IN" sz="1600" b="1" baseline="0"/>
            <a:t> </a:t>
          </a:r>
          <a:r>
            <a:rPr lang="en-IN" sz="1600" b="1"/>
            <a:t>Sales</a:t>
          </a:r>
        </a:p>
        <a:p>
          <a:pPr algn="ctr"/>
          <a:r>
            <a:rPr lang="en-IN" sz="2000" b="1" i="0" u="none" strike="noStrike">
              <a:solidFill>
                <a:schemeClr val="accent1">
                  <a:lumMod val="75000"/>
                </a:schemeClr>
              </a:solidFill>
              <a:effectLst/>
              <a:latin typeface="+mn-lt"/>
              <a:ea typeface="+mn-ea"/>
              <a:cs typeface="+mn-cs"/>
            </a:rPr>
            <a:t>267830</a:t>
          </a:r>
          <a:r>
            <a:rPr lang="en-IN" sz="2400" b="0">
              <a:solidFill>
                <a:schemeClr val="accent1"/>
              </a:solidFill>
              <a:effectLst/>
            </a:rPr>
            <a:t> </a:t>
          </a:r>
          <a:endParaRPr lang="en-IN" sz="2400" b="0">
            <a:solidFill>
              <a:schemeClr val="accent1"/>
            </a:solidFill>
          </a:endParaRPr>
        </a:p>
        <a:p>
          <a:pPr algn="l"/>
          <a:endParaRPr lang="en-IN" sz="1100"/>
        </a:p>
      </xdr:txBody>
    </xdr:sp>
    <xdr:clientData/>
  </xdr:twoCellAnchor>
  <xdr:twoCellAnchor>
    <xdr:from>
      <xdr:col>0</xdr:col>
      <xdr:colOff>0</xdr:colOff>
      <xdr:row>8</xdr:row>
      <xdr:rowOff>9525</xdr:rowOff>
    </xdr:from>
    <xdr:to>
      <xdr:col>2</xdr:col>
      <xdr:colOff>0</xdr:colOff>
      <xdr:row>12</xdr:row>
      <xdr:rowOff>19050</xdr:rowOff>
    </xdr:to>
    <xdr:sp macro="" textlink="">
      <xdr:nvSpPr>
        <xdr:cNvPr id="7" name="Rectangle 6">
          <a:extLst>
            <a:ext uri="{FF2B5EF4-FFF2-40B4-BE49-F238E27FC236}">
              <a16:creationId xmlns:a16="http://schemas.microsoft.com/office/drawing/2014/main" id="{8947F167-5000-E457-A571-F8ADBF76EA38}"/>
            </a:ext>
          </a:extLst>
        </xdr:cNvPr>
        <xdr:cNvSpPr/>
      </xdr:nvSpPr>
      <xdr:spPr>
        <a:xfrm>
          <a:off x="0" y="1533525"/>
          <a:ext cx="1219200" cy="771525"/>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1"/>
              </a:solidFill>
            </a:rPr>
            <a:t>Quantity</a:t>
          </a:r>
          <a:r>
            <a:rPr lang="en-IN" sz="1400" b="1" baseline="0">
              <a:solidFill>
                <a:schemeClr val="tx1"/>
              </a:solidFill>
            </a:rPr>
            <a:t> Sold</a:t>
          </a:r>
        </a:p>
        <a:p>
          <a:pPr algn="ctr"/>
          <a:r>
            <a:rPr lang="en-IN" sz="2000" b="1" baseline="0">
              <a:solidFill>
                <a:schemeClr val="accent1">
                  <a:lumMod val="75000"/>
                </a:schemeClr>
              </a:solidFill>
            </a:rPr>
            <a:t>2703</a:t>
          </a:r>
          <a:endParaRPr lang="en-IN" sz="2000" b="1">
            <a:solidFill>
              <a:schemeClr val="accent1">
                <a:lumMod val="75000"/>
              </a:schemeClr>
            </a:solidFill>
          </a:endParaRPr>
        </a:p>
      </xdr:txBody>
    </xdr:sp>
    <xdr:clientData/>
  </xdr:twoCellAnchor>
  <xdr:twoCellAnchor>
    <xdr:from>
      <xdr:col>0</xdr:col>
      <xdr:colOff>0</xdr:colOff>
      <xdr:row>12</xdr:row>
      <xdr:rowOff>180975</xdr:rowOff>
    </xdr:from>
    <xdr:to>
      <xdr:col>2</xdr:col>
      <xdr:colOff>0</xdr:colOff>
      <xdr:row>16</xdr:row>
      <xdr:rowOff>180975</xdr:rowOff>
    </xdr:to>
    <xdr:sp macro="" textlink="">
      <xdr:nvSpPr>
        <xdr:cNvPr id="8" name="Rectangle 7">
          <a:extLst>
            <a:ext uri="{FF2B5EF4-FFF2-40B4-BE49-F238E27FC236}">
              <a16:creationId xmlns:a16="http://schemas.microsoft.com/office/drawing/2014/main" id="{E50F4E29-BE7C-2FE9-4D4B-53E1126BEFF7}"/>
            </a:ext>
          </a:extLst>
        </xdr:cNvPr>
        <xdr:cNvSpPr/>
      </xdr:nvSpPr>
      <xdr:spPr>
        <a:xfrm>
          <a:off x="0" y="2466975"/>
          <a:ext cx="1219200" cy="76200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1400" b="1">
              <a:solidFill>
                <a:schemeClr val="tx1"/>
              </a:solidFill>
              <a:latin typeface="+mn-lt"/>
              <a:ea typeface="+mn-ea"/>
              <a:cs typeface="+mn-cs"/>
            </a:rPr>
            <a:t>Best Selling Product</a:t>
          </a:r>
        </a:p>
        <a:p>
          <a:pPr marL="0" indent="0" algn="ctr"/>
          <a:r>
            <a:rPr lang="en-IN" sz="1400" b="1" i="0" u="none" strike="noStrike">
              <a:solidFill>
                <a:schemeClr val="accent1">
                  <a:lumMod val="75000"/>
                </a:schemeClr>
              </a:solidFill>
              <a:effectLst/>
              <a:latin typeface="+mn-lt"/>
              <a:ea typeface="+mn-ea"/>
              <a:cs typeface="+mn-cs"/>
            </a:rPr>
            <a:t>1Mm Rr Wire</a:t>
          </a:r>
        </a:p>
      </xdr:txBody>
    </xdr:sp>
    <xdr:clientData/>
  </xdr:twoCellAnchor>
  <xdr:twoCellAnchor>
    <xdr:from>
      <xdr:col>0</xdr:col>
      <xdr:colOff>0</xdr:colOff>
      <xdr:row>18</xdr:row>
      <xdr:rowOff>0</xdr:rowOff>
    </xdr:from>
    <xdr:to>
      <xdr:col>1</xdr:col>
      <xdr:colOff>600075</xdr:colOff>
      <xdr:row>21</xdr:row>
      <xdr:rowOff>180975</xdr:rowOff>
    </xdr:to>
    <xdr:sp macro="" textlink="">
      <xdr:nvSpPr>
        <xdr:cNvPr id="9" name="Rectangle 8">
          <a:extLst>
            <a:ext uri="{FF2B5EF4-FFF2-40B4-BE49-F238E27FC236}">
              <a16:creationId xmlns:a16="http://schemas.microsoft.com/office/drawing/2014/main" id="{BC10D02F-0901-D93E-D11A-92409A9B7286}"/>
            </a:ext>
          </a:extLst>
        </xdr:cNvPr>
        <xdr:cNvSpPr/>
      </xdr:nvSpPr>
      <xdr:spPr>
        <a:xfrm>
          <a:off x="0" y="3429000"/>
          <a:ext cx="1209675" cy="752475"/>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1"/>
              </a:solidFill>
            </a:rPr>
            <a:t>Average Daily Sales</a:t>
          </a:r>
        </a:p>
        <a:p>
          <a:pPr algn="ctr"/>
          <a:r>
            <a:rPr lang="en-IN" sz="1400" b="1">
              <a:solidFill>
                <a:schemeClr val="accent1">
                  <a:lumMod val="75000"/>
                </a:schemeClr>
              </a:solidFill>
            </a:rPr>
            <a:t>9235</a:t>
          </a:r>
        </a:p>
      </xdr:txBody>
    </xdr:sp>
    <xdr:clientData/>
  </xdr:twoCellAnchor>
  <xdr:twoCellAnchor>
    <xdr:from>
      <xdr:col>5</xdr:col>
      <xdr:colOff>13755</xdr:colOff>
      <xdr:row>3</xdr:row>
      <xdr:rowOff>10466</xdr:rowOff>
    </xdr:from>
    <xdr:to>
      <xdr:col>12</xdr:col>
      <xdr:colOff>31401</xdr:colOff>
      <xdr:row>15</xdr:row>
      <xdr:rowOff>94202</xdr:rowOff>
    </xdr:to>
    <xdr:graphicFrame macro="">
      <xdr:nvGraphicFramePr>
        <xdr:cNvPr id="10" name="Chart 9">
          <a:extLst>
            <a:ext uri="{FF2B5EF4-FFF2-40B4-BE49-F238E27FC236}">
              <a16:creationId xmlns:a16="http://schemas.microsoft.com/office/drawing/2014/main" id="{E31CD2F2-25DD-4953-BA11-283530CBC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109485</xdr:colOff>
      <xdr:row>3</xdr:row>
      <xdr:rowOff>3768</xdr:rowOff>
    </xdr:from>
    <xdr:to>
      <xdr:col>4</xdr:col>
      <xdr:colOff>398759</xdr:colOff>
      <xdr:row>22</xdr:row>
      <xdr:rowOff>0</xdr:rowOff>
    </xdr:to>
    <mc:AlternateContent xmlns:mc="http://schemas.openxmlformats.org/markup-compatibility/2006" xmlns:a14="http://schemas.microsoft.com/office/drawing/2010/main">
      <mc:Choice Requires="a14">
        <xdr:graphicFrame macro="">
          <xdr:nvGraphicFramePr>
            <xdr:cNvPr id="11" name="Date Range">
              <a:extLst>
                <a:ext uri="{FF2B5EF4-FFF2-40B4-BE49-F238E27FC236}">
                  <a16:creationId xmlns:a16="http://schemas.microsoft.com/office/drawing/2014/main" id="{617CB839-42E5-A68C-D067-25C9C9BC5A73}"/>
                </a:ext>
              </a:extLst>
            </xdr:cNvPr>
            <xdr:cNvGraphicFramePr/>
          </xdr:nvGraphicFramePr>
          <xdr:xfrm>
            <a:off x="0" y="0"/>
            <a:ext cx="0" cy="0"/>
          </xdr:xfrm>
          <a:graphic>
            <a:graphicData uri="http://schemas.microsoft.com/office/drawing/2010/slicer">
              <sle:slicer xmlns:sle="http://schemas.microsoft.com/office/drawing/2010/slicer" name="Date Range"/>
            </a:graphicData>
          </a:graphic>
        </xdr:graphicFrame>
      </mc:Choice>
      <mc:Fallback xmlns="">
        <xdr:sp macro="" textlink="">
          <xdr:nvSpPr>
            <xdr:cNvPr id="0" name=""/>
            <xdr:cNvSpPr>
              <a:spLocks noTextEdit="1"/>
            </xdr:cNvSpPr>
          </xdr:nvSpPr>
          <xdr:spPr>
            <a:xfrm>
              <a:off x="1323661" y="568988"/>
              <a:ext cx="1503450" cy="357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167472</xdr:colOff>
      <xdr:row>3</xdr:row>
      <xdr:rowOff>20935</xdr:rowOff>
    </xdr:from>
    <xdr:to>
      <xdr:col>19</xdr:col>
      <xdr:colOff>397748</xdr:colOff>
      <xdr:row>15</xdr:row>
      <xdr:rowOff>104670</xdr:rowOff>
    </xdr:to>
    <xdr:graphicFrame macro="">
      <xdr:nvGraphicFramePr>
        <xdr:cNvPr id="14" name="Chart 13">
          <a:extLst>
            <a:ext uri="{FF2B5EF4-FFF2-40B4-BE49-F238E27FC236}">
              <a16:creationId xmlns:a16="http://schemas.microsoft.com/office/drawing/2014/main" id="{37F6BCEA-FB72-4E0D-8A99-887E2AC43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607087</xdr:colOff>
      <xdr:row>16</xdr:row>
      <xdr:rowOff>10467</xdr:rowOff>
    </xdr:from>
    <xdr:to>
      <xdr:col>12</xdr:col>
      <xdr:colOff>41867</xdr:colOff>
      <xdr:row>29</xdr:row>
      <xdr:rowOff>125604</xdr:rowOff>
    </xdr:to>
    <xdr:graphicFrame macro="">
      <xdr:nvGraphicFramePr>
        <xdr:cNvPr id="2" name="Chart 1">
          <a:extLst>
            <a:ext uri="{FF2B5EF4-FFF2-40B4-BE49-F238E27FC236}">
              <a16:creationId xmlns:a16="http://schemas.microsoft.com/office/drawing/2014/main" id="{413DAC11-427F-4B83-8D74-70B47392B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219808</xdr:colOff>
      <xdr:row>16</xdr:row>
      <xdr:rowOff>73270</xdr:rowOff>
    </xdr:from>
    <xdr:to>
      <xdr:col>19</xdr:col>
      <xdr:colOff>418682</xdr:colOff>
      <xdr:row>29</xdr:row>
      <xdr:rowOff>104671</xdr:rowOff>
    </xdr:to>
    <xdr:graphicFrame macro="">
      <xdr:nvGraphicFramePr>
        <xdr:cNvPr id="5" name="Chart 4">
          <a:extLst>
            <a:ext uri="{FF2B5EF4-FFF2-40B4-BE49-F238E27FC236}">
              <a16:creationId xmlns:a16="http://schemas.microsoft.com/office/drawing/2014/main" id="{FC0DE211-35EF-4FF0-B97E-A5F67018C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574879</xdr:colOff>
      <xdr:row>6</xdr:row>
      <xdr:rowOff>121227</xdr:rowOff>
    </xdr:from>
    <xdr:to>
      <xdr:col>25</xdr:col>
      <xdr:colOff>3590</xdr:colOff>
      <xdr:row>27</xdr:row>
      <xdr:rowOff>46886</xdr:rowOff>
    </xdr:to>
    <xdr:graphicFrame macro="">
      <xdr:nvGraphicFramePr>
        <xdr:cNvPr id="6" name="Chart 5">
          <a:extLst>
            <a:ext uri="{FF2B5EF4-FFF2-40B4-BE49-F238E27FC236}">
              <a16:creationId xmlns:a16="http://schemas.microsoft.com/office/drawing/2014/main" id="{007CDD88-3E4A-4FAF-8660-7DEEB200F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30726</xdr:colOff>
      <xdr:row>22</xdr:row>
      <xdr:rowOff>122904</xdr:rowOff>
    </xdr:from>
    <xdr:to>
      <xdr:col>4</xdr:col>
      <xdr:colOff>355343</xdr:colOff>
      <xdr:row>29</xdr:row>
      <xdr:rowOff>143389</xdr:rowOff>
    </xdr:to>
    <mc:AlternateContent xmlns:mc="http://schemas.openxmlformats.org/markup-compatibility/2006" xmlns:a14="http://schemas.microsoft.com/office/drawing/2010/main">
      <mc:Choice Requires="a14">
        <xdr:graphicFrame macro="">
          <xdr:nvGraphicFramePr>
            <xdr:cNvPr id="12" name="Week">
              <a:extLst>
                <a:ext uri="{FF2B5EF4-FFF2-40B4-BE49-F238E27FC236}">
                  <a16:creationId xmlns:a16="http://schemas.microsoft.com/office/drawing/2014/main" id="{F3C8A160-1FB1-E8A2-09B3-E9D50DF801A6}"/>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30726" y="4404033"/>
              <a:ext cx="2782682" cy="1382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hushi" refreshedDate="46207.518147453702" backgroundQuery="1" createdVersion="8" refreshedVersion="8" minRefreshableVersion="3" recordCount="0" supportSubquery="1" supportAdvancedDrill="1" xr:uid="{CEE0C73E-4078-42BB-BB0D-CF84C12DC6EF}">
  <cacheSource type="external" connectionId="1"/>
  <cacheFields count="4">
    <cacheField name="[Table13].[Product Name].[Product Name]" caption="Product Name" numFmtId="0" hierarchy="13" level="1">
      <sharedItems count="10">
        <s v="1.5 Mm Rr Cable"/>
        <s v="2.5 Mm Rr"/>
        <s v="2.5 Mm Ss Wire"/>
        <s v="4'' Round Plate"/>
        <s v="6A Plug"/>
        <s v="6A Switch"/>
        <s v="6A Switch Jiva"/>
        <s v="6Mm Ss Wire"/>
        <s v="A Holder"/>
        <s v="Tep"/>
      </sharedItems>
    </cacheField>
    <cacheField name="[Measures].[Sum of Quantity]" caption="Sum of Quantity" numFmtId="0" hierarchy="21" level="32767"/>
    <cacheField name="[Table13].[Date Range].[Date Range]" caption="Date Range" numFmtId="0" hierarchy="16" level="1">
      <sharedItems containsSemiMixedTypes="0" containsNonDate="0" containsString="0"/>
    </cacheField>
    <cacheField name="[Table13].[Week].[Week]" caption="Week" numFmtId="0" hierarchy="15" level="1">
      <sharedItems containsSemiMixedTypes="0" containsNonDate="0" containsString="0"/>
    </cacheField>
  </cacheFields>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0" memberValueDatatype="7" unbalanced="0"/>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2" memberValueDatatype="130" unbalanced="0">
      <fieldsUsage count="2">
        <fieldUsage x="-1"/>
        <fieldUsage x="0"/>
      </fieldsUsage>
    </cacheHierarchy>
    <cacheHierarchy uniqueName="[Table13].[Day]" caption="Day" attribute="1" defaultMemberUniqueName="[Table13].[Day].[All]" allUniqueName="[Table13].[Day].[All]" dimensionUniqueName="[Table13]" displayFolder="" count="0" memberValueDatatype="130" unbalanced="0"/>
    <cacheHierarchy uniqueName="[Table13].[Week]" caption="Week" attribute="1" defaultMemberUniqueName="[Table13].[Week].[All]" allUniqueName="[Table13].[Week].[All]" dimensionUniqueName="[Table13]" displayFolder="" count="2" memberValueDatatype="130" unbalanced="0">
      <fieldsUsage count="2">
        <fieldUsage x="-1"/>
        <fieldUsage x="3"/>
      </fieldsUsage>
    </cacheHierarchy>
    <cacheHierarchy uniqueName="[Table13].[Date Range]" caption="Date Range" attribute="1" defaultMemberUniqueName="[Table13].[Date Range].[All]" allUniqueName="[Table13].[Date Range].[All]" dimensionUniqueName="[Table13]" displayFolder="" count="2" memberValueDatatype="130" unbalanced="0">
      <fieldsUsage count="2">
        <fieldUsage x="-1"/>
        <fieldUsage x="2"/>
      </fieldsUsage>
    </cacheHierarchy>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able13" uniqueName="[Table13]" caption="Table13"/>
  </dimensions>
  <measureGroups count="2">
    <measureGroup name="Range" caption="Range"/>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hushi" refreshedDate="46207.518149421296" backgroundQuery="1" createdVersion="8" refreshedVersion="8" minRefreshableVersion="3" recordCount="0" supportSubquery="1" supportAdvancedDrill="1" xr:uid="{AB6F00A0-99CB-418B-A744-7E465E28A2A0}">
  <cacheSource type="external" connectionId="1"/>
  <cacheFields count="4">
    <cacheField name="[Table13].[Day].[Day]" caption="Day" numFmtId="0" hierarchy="14" level="1">
      <sharedItems count="7">
        <s v="Friday"/>
        <s v="Monday"/>
        <s v="Saturday"/>
        <s v="Sunday"/>
        <s v="Thursday"/>
        <s v="Tuesday"/>
        <s v="Wednesday"/>
      </sharedItems>
    </cacheField>
    <cacheField name="[Measures].[Sum of Total]" caption="Sum of Total" numFmtId="0" hierarchy="20" level="32767"/>
    <cacheField name="[Table13].[Date Range].[Date Range]" caption="Date Range" numFmtId="0" hierarchy="16" level="1">
      <sharedItems containsSemiMixedTypes="0" containsNonDate="0" containsString="0"/>
    </cacheField>
    <cacheField name="[Table13].[Week].[Week]" caption="Week" numFmtId="0" hierarchy="15" level="1">
      <sharedItems containsSemiMixedTypes="0" containsNonDate="0" containsString="0"/>
    </cacheField>
  </cacheFields>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0" memberValueDatatype="7" unbalanced="0"/>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0" memberValueDatatype="130" unbalanced="0"/>
    <cacheHierarchy uniqueName="[Table13].[Day]" caption="Day" attribute="1" defaultMemberUniqueName="[Table13].[Day].[All]" allUniqueName="[Table13].[Day].[All]" dimensionUniqueName="[Table13]" displayFolder="" count="2" memberValueDatatype="130" unbalanced="0">
      <fieldsUsage count="2">
        <fieldUsage x="-1"/>
        <fieldUsage x="0"/>
      </fieldsUsage>
    </cacheHierarchy>
    <cacheHierarchy uniqueName="[Table13].[Week]" caption="Week" attribute="1" defaultMemberUniqueName="[Table13].[Week].[All]" allUniqueName="[Table13].[Week].[All]" dimensionUniqueName="[Table13]" displayFolder="" count="2" memberValueDatatype="130" unbalanced="0">
      <fieldsUsage count="2">
        <fieldUsage x="-1"/>
        <fieldUsage x="3"/>
      </fieldsUsage>
    </cacheHierarchy>
    <cacheHierarchy uniqueName="[Table13].[Date Range]" caption="Date Range" attribute="1" defaultMemberUniqueName="[Table13].[Date Range].[All]" allUniqueName="[Table13].[Date Range].[All]" dimensionUniqueName="[Table13]" displayFolder="" count="2" memberValueDatatype="130" unbalanced="0">
      <fieldsUsage count="2">
        <fieldUsage x="-1"/>
        <fieldUsage x="2"/>
      </fieldsUsage>
    </cacheHierarchy>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able13" uniqueName="[Table13]" caption="Table13"/>
  </dimensions>
  <measureGroups count="2">
    <measureGroup name="Range" caption="Range"/>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hushi" refreshedDate="46207.518150462965" backgroundQuery="1" createdVersion="8" refreshedVersion="8" minRefreshableVersion="3" recordCount="0" supportSubquery="1" supportAdvancedDrill="1" xr:uid="{40092DFC-59EB-401C-AC5F-DD4B4B33361C}">
  <cacheSource type="external" connectionId="1"/>
  <cacheFields count="4">
    <cacheField name="[Measures].[Sum of Total]" caption="Sum of Total" numFmtId="0" hierarchy="20" level="32767"/>
    <cacheField name="[Table13].[Date].[Date]" caption="Date" numFmtId="0" hierarchy="8" level="1">
      <sharedItems containsSemiMixedTypes="0" containsNonDate="0" containsDate="1" containsString="0" minDate="2026-06-01T00:00:00" maxDate="2026-07-01T00:00:00" count="27">
        <d v="2026-06-01T00:00:00"/>
        <d v="2026-06-02T00:00:00"/>
        <d v="2026-06-03T00:00:00"/>
        <d v="2026-06-04T00:00:00"/>
        <d v="2026-06-05T00:00:00"/>
        <d v="2026-06-06T00:00:00"/>
        <d v="2026-06-07T00:00:00"/>
        <d v="2026-06-08T00:00:00"/>
        <d v="2026-06-11T00:00:00"/>
        <d v="2026-06-12T00:00:00"/>
        <d v="2026-06-13T00:00:00"/>
        <d v="2026-06-14T00:00:00"/>
        <d v="2026-06-15T00:00:00"/>
        <d v="2026-06-16T00:00:00"/>
        <d v="2026-06-17T00:00:00"/>
        <d v="2026-06-18T00:00:00"/>
        <d v="2026-06-19T00:00:00"/>
        <d v="2026-06-20T00:00:00"/>
        <d v="2026-06-22T00:00:00"/>
        <d v="2026-06-23T00:00:00"/>
        <d v="2026-06-24T00:00:00"/>
        <d v="2026-06-25T00:00:00"/>
        <d v="2026-06-26T00:00:00"/>
        <d v="2026-06-27T00:00:00"/>
        <d v="2026-06-28T00:00:00"/>
        <d v="2026-06-29T00:00:00"/>
        <d v="2026-06-30T00:00:00"/>
      </sharedItems>
    </cacheField>
    <cacheField name="[Table13].[Date Range].[Date Range]" caption="Date Range" numFmtId="0" hierarchy="16" level="1">
      <sharedItems containsSemiMixedTypes="0" containsNonDate="0" containsString="0"/>
    </cacheField>
    <cacheField name="[Table13].[Week].[Week]" caption="Week" numFmtId="0" hierarchy="15" level="1">
      <sharedItems containsSemiMixedTypes="0" containsNonDate="0" containsString="0"/>
    </cacheField>
  </cacheFields>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2" memberValueDatatype="7" unbalanced="0">
      <fieldsUsage count="2">
        <fieldUsage x="-1"/>
        <fieldUsage x="1"/>
      </fieldsUsage>
    </cacheHierarchy>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0" memberValueDatatype="130" unbalanced="0"/>
    <cacheHierarchy uniqueName="[Table13].[Day]" caption="Day" attribute="1" defaultMemberUniqueName="[Table13].[Day].[All]" allUniqueName="[Table13].[Day].[All]" dimensionUniqueName="[Table13]" displayFolder="" count="0" memberValueDatatype="130" unbalanced="0"/>
    <cacheHierarchy uniqueName="[Table13].[Week]" caption="Week" attribute="1" defaultMemberUniqueName="[Table13].[Week].[All]" allUniqueName="[Table13].[Week].[All]" dimensionUniqueName="[Table13]" displayFolder="" count="2" memberValueDatatype="130" unbalanced="0">
      <fieldsUsage count="2">
        <fieldUsage x="-1"/>
        <fieldUsage x="3"/>
      </fieldsUsage>
    </cacheHierarchy>
    <cacheHierarchy uniqueName="[Table13].[Date Range]" caption="Date Range" attribute="1" defaultMemberUniqueName="[Table13].[Date Range].[All]" allUniqueName="[Table13].[Date Range].[All]" dimensionUniqueName="[Table13]" displayFolder="" count="2" memberValueDatatype="130" unbalanced="0">
      <fieldsUsage count="2">
        <fieldUsage x="-1"/>
        <fieldUsage x="2"/>
      </fieldsUsage>
    </cacheHierarchy>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oneField="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able13" uniqueName="[Table13]" caption="Table13"/>
  </dimensions>
  <measureGroups count="2">
    <measureGroup name="Range" caption="Range"/>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refreshedDate="46207.600075115741" backgroundQuery="1" createdVersion="8" refreshedVersion="8" minRefreshableVersion="3" recordCount="0" supportSubquery="1" supportAdvancedDrill="1" xr:uid="{63CB546D-4FD4-4AD7-AAFC-A45CADA88330}">
  <cacheSource type="external" connectionId="1"/>
  <cacheFields count="1">
    <cacheField name="[Measures].[Total Sales]" caption="Total Sales" numFmtId="0" hierarchy="24" level="32767"/>
  </cacheFields>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0" memberValueDatatype="7" unbalanced="0"/>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0" memberValueDatatype="130" unbalanced="0"/>
    <cacheHierarchy uniqueName="[Table13].[Day]" caption="Day" attribute="1" defaultMemberUniqueName="[Table13].[Day].[All]" allUniqueName="[Table13].[Day].[All]" dimensionUniqueName="[Table13]" displayFolder="" count="0" memberValueDatatype="130" unbalanced="0"/>
    <cacheHierarchy uniqueName="[Table13].[Week]" caption="Week" attribute="1" defaultMemberUniqueName="[Table13].[Week].[All]" allUniqueName="[Table13].[Week].[All]" dimensionUniqueName="[Table13]" displayFolder="" count="0" memberValueDatatype="130" unbalanced="0"/>
    <cacheHierarchy uniqueName="[Table13].[Date Range]" caption="Date Range" attribute="1" defaultMemberUniqueName="[Table13].[Date Range].[All]" allUniqueName="[Table13].[Date Range].[All]" dimensionUniqueName="[Table13]" displayFolder="" count="0" memberValueDatatype="130" unbalanced="0"/>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oneField="1">
      <fieldsUsage count="1">
        <fieldUsage x="0"/>
      </fieldsUsage>
    </cacheHierarchy>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able13" uniqueName="[Table13]" caption="Table13"/>
  </dimensions>
  <measureGroups count="2">
    <measureGroup name="Range" caption="Range"/>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hushi" refreshedDate="46207.603152662035" backgroundQuery="1" createdVersion="8" refreshedVersion="8" minRefreshableVersion="3" recordCount="0" supportSubquery="1" supportAdvancedDrill="1" xr:uid="{A65F6B2F-B358-468F-9934-C4247AD4E726}">
  <cacheSource type="external" connectionId="1"/>
  <cacheFields count="2">
    <cacheField name="[Table13].[Product Name].[Product Name]" caption="Product Name" numFmtId="0" hierarchy="13" level="1">
      <sharedItems count="10">
        <s v="1 Mm Rr Wire"/>
        <s v="1.5 Mm Rr"/>
        <s v="1.5 Mm Rr Wire"/>
        <s v="1.5 Mm Rrr Wire"/>
        <s v="1Mm Rr"/>
        <s v="2.5 Mm Rr Wire"/>
        <s v="2.5Mm Rr Wire"/>
        <s v="Crown 2500W Infra"/>
        <s v="Ecolink Fan"/>
        <s v="Polycap Bldc Fan"/>
      </sharedItems>
    </cacheField>
    <cacheField name="[Measures].[Sum of Total]" caption="Sum of Total" numFmtId="0" hierarchy="20" level="32767"/>
  </cacheFields>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0" memberValueDatatype="7" unbalanced="0"/>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2" memberValueDatatype="130" unbalanced="0">
      <fieldsUsage count="2">
        <fieldUsage x="-1"/>
        <fieldUsage x="0"/>
      </fieldsUsage>
    </cacheHierarchy>
    <cacheHierarchy uniqueName="[Table13].[Day]" caption="Day" attribute="1" defaultMemberUniqueName="[Table13].[Day].[All]" allUniqueName="[Table13].[Day].[All]" dimensionUniqueName="[Table13]" displayFolder="" count="0" memberValueDatatype="130" unbalanced="0"/>
    <cacheHierarchy uniqueName="[Table13].[Week]" caption="Week" attribute="1" defaultMemberUniqueName="[Table13].[Week].[All]" allUniqueName="[Table13].[Week].[All]" dimensionUniqueName="[Table13]" displayFolder="" count="2" memberValueDatatype="130" unbalanced="0"/>
    <cacheHierarchy uniqueName="[Table13].[Date Range]" caption="Date Range" attribute="1" defaultMemberUniqueName="[Table13].[Date Range].[All]" allUniqueName="[Table13].[Date Range].[All]" dimensionUniqueName="[Table13]" displayFolder="" count="2" memberValueDatatype="130" unbalanced="0"/>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able13" uniqueName="[Table13]" caption="Table13"/>
  </dimensions>
  <measureGroups count="2">
    <measureGroup name="Range" caption="Range"/>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hushi" refreshedDate="46207.60609872685" backgroundQuery="1" createdVersion="8" refreshedVersion="8" minRefreshableVersion="3" recordCount="0" supportSubquery="1" supportAdvancedDrill="1" xr:uid="{7B7E4778-2A96-41AA-947E-B53F48920920}">
  <cacheSource type="external" connectionId="1"/>
  <cacheFields count="2">
    <cacheField name="[Table13].[Week].[Week]" caption="Week" numFmtId="0" hierarchy="15" level="1">
      <sharedItems count="5">
        <s v="Week 1"/>
        <s v="Week 2"/>
        <s v="Week 3"/>
        <s v="Week 4"/>
        <s v="Week 5"/>
      </sharedItems>
    </cacheField>
    <cacheField name="[Measures].[Sum of Total]" caption="Sum of Total" numFmtId="0" hierarchy="20" level="32767"/>
  </cacheFields>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0" memberValueDatatype="7" unbalanced="0"/>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0" memberValueDatatype="130" unbalanced="0"/>
    <cacheHierarchy uniqueName="[Table13].[Day]" caption="Day" attribute="1" defaultMemberUniqueName="[Table13].[Day].[All]" allUniqueName="[Table13].[Day].[All]" dimensionUniqueName="[Table13]" displayFolder="" count="0" memberValueDatatype="130" unbalanced="0"/>
    <cacheHierarchy uniqueName="[Table13].[Week]" caption="Week" attribute="1" defaultMemberUniqueName="[Table13].[Week].[All]" allUniqueName="[Table13].[Week].[All]" dimensionUniqueName="[Table13]" displayFolder="" count="2" memberValueDatatype="130" unbalanced="0">
      <fieldsUsage count="2">
        <fieldUsage x="-1"/>
        <fieldUsage x="0"/>
      </fieldsUsage>
    </cacheHierarchy>
    <cacheHierarchy uniqueName="[Table13].[Date Range]" caption="Date Range" attribute="1" defaultMemberUniqueName="[Table13].[Date Range].[All]" allUniqueName="[Table13].[Date Range].[All]" dimensionUniqueName="[Table13]" displayFolder="" count="2" memberValueDatatype="130" unbalanced="0"/>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able13" uniqueName="[Table13]" caption="Table13"/>
  </dimensions>
  <measureGroups count="2">
    <measureGroup name="Range" caption="Range"/>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refreshedDate="46207.518145254631" backgroundQuery="1" createdVersion="3" refreshedVersion="8" minRefreshableVersion="3" recordCount="0" supportSubquery="1" supportAdvancedDrill="1" xr:uid="{97121D4E-C419-44D3-9252-4561BD6F8BAC}">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Date]" caption="Date" attribute="1" time="1" defaultMemberUniqueName="[Range].[Date].[All]" allUniqueName="[Range].[Date].[All]" dimensionUniqueName="[Range]" displayFolder="" count="0" memberValueDatatype="7" unbalanced="0"/>
    <cacheHierarchy uniqueName="[Range].[Product Name(RAW)]" caption="Product Name(RAW)" attribute="1" defaultMemberUniqueName="[Range].[Product Name(RAW)].[All]" allUniqueName="[Range].[Product Name(RAW)].[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Price]" caption="Price" attribute="1" defaultMemberUniqueName="[Range].[Price].[All]" allUniqueName="[Range].[Pric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Week]" caption="Week" attribute="1" defaultMemberUniqueName="[Range].[Week].[All]" allUniqueName="[Range].[Week].[All]" dimensionUniqueName="[Range]" displayFolder="" count="0" memberValueDatatype="130" unbalanced="0"/>
    <cacheHierarchy uniqueName="[Table13].[Date]" caption="Date" attribute="1" time="1" defaultMemberUniqueName="[Table13].[Date].[All]" allUniqueName="[Table13].[Date].[All]" dimensionUniqueName="[Table13]" displayFolder="" count="0" memberValueDatatype="7" unbalanced="0"/>
    <cacheHierarchy uniqueName="[Table13].[Product Name(RAW)]" caption="Product Name(RAW)" attribute="1" defaultMemberUniqueName="[Table13].[Product Name(RAW)].[All]" allUniqueName="[Table13].[Product Name(RAW)].[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5" unbalanced="0"/>
    <cacheHierarchy uniqueName="[Table13].[Price]" caption="Price" attribute="1" defaultMemberUniqueName="[Table13].[Price].[All]" allUniqueName="[Table13].[Price].[All]" dimensionUniqueName="[Table13]" displayFolder="" count="0" memberValueDatatype="5" unbalanced="0"/>
    <cacheHierarchy uniqueName="[Table13].[Total]" caption="Total" attribute="1" defaultMemberUniqueName="[Table13].[Total].[All]" allUniqueName="[Table13].[Total].[All]" dimensionUniqueName="[Table13]" displayFolder="" count="0" memberValueDatatype="5" unbalanced="0"/>
    <cacheHierarchy uniqueName="[Table13].[Product Name]" caption="Product Name" attribute="1" defaultMemberUniqueName="[Table13].[Product Name].[All]" allUniqueName="[Table13].[Product Name].[All]" dimensionUniqueName="[Table13]" displayFolder="" count="0" memberValueDatatype="130" unbalanced="0"/>
    <cacheHierarchy uniqueName="[Table13].[Day]" caption="Day" attribute="1" defaultMemberUniqueName="[Table13].[Day].[All]" allUniqueName="[Table13].[Day].[All]" dimensionUniqueName="[Table13]" displayFolder="" count="0" memberValueDatatype="130" unbalanced="0"/>
    <cacheHierarchy uniqueName="[Table13].[Week]" caption="Week" attribute="1" defaultMemberUniqueName="[Table13].[Week].[All]" allUniqueName="[Table13].[Week].[All]" dimensionUniqueName="[Table13]" displayFolder="" count="2" memberValueDatatype="130" unbalanced="0"/>
    <cacheHierarchy uniqueName="[Table13].[Date Range]" caption="Date Range" attribute="1" defaultMemberUniqueName="[Table13].[Date Range].[All]" allUniqueName="[Table13].[Date Range].[All]" dimensionUniqueName="[Table13]" displayFolder="" count="2" memberValueDatatype="130" unbalanced="0"/>
    <cacheHierarchy uniqueName="[Measures].[Sum of Price]" caption="Sum of Price" measure="1" displayFolder="" measureGroup="Table13" count="0">
      <extLst>
        <ext xmlns:x15="http://schemas.microsoft.com/office/spreadsheetml/2010/11/main" uri="{B97F6D7D-B522-45F9-BDA1-12C45D357490}">
          <x15:cacheHierarchy aggregatedColumn="11"/>
        </ext>
      </extLst>
    </cacheHierarchy>
    <cacheHierarchy uniqueName="[Measures].[Count of Product Name]" caption="Count of Product Name" measure="1" displayFolder="" measureGroup="Table13" count="0">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Table13" count="0">
      <extLst>
        <ext xmlns:x15="http://schemas.microsoft.com/office/spreadsheetml/2010/11/main" uri="{B97F6D7D-B522-45F9-BDA1-12C45D357490}">
          <x15:cacheHierarchy aggregatedColumn="10"/>
        </ext>
      </extLst>
    </cacheHierarchy>
    <cacheHierarchy uniqueName="[Measures].[Sum of Total]" caption="Sum of Total" measure="1" displayFolder="" measureGroup="Table13"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3" count="0">
      <extLst>
        <ext xmlns:x15="http://schemas.microsoft.com/office/spreadsheetml/2010/11/main" uri="{B97F6D7D-B522-45F9-BDA1-12C45D357490}">
          <x15:cacheHierarchy aggregatedColumn="10"/>
        </ext>
      </extLst>
    </cacheHierarchy>
    <cacheHierarchy uniqueName="[Measures].[Count of Product Name 2]" caption="Count of Product Name 2" measure="1" displayFolder="" measureGroup="Range" count="0">
      <extLst>
        <ext xmlns:x15="http://schemas.microsoft.com/office/spreadsheetml/2010/11/main" uri="{B97F6D7D-B522-45F9-BDA1-12C45D357490}">
          <x15:cacheHierarchy aggregatedColumn="5"/>
        </ext>
      </extLst>
    </cacheHierarchy>
    <cacheHierarchy uniqueName="[Measures].[Sum of Total 2]" caption="Sum of Total 2" measure="1" displayFolder="" measureGroup="Range"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3" count="0"/>
    <cacheHierarchy uniqueName="[Measures].[__XL_Count Table13]" caption="__XL_Count Table13" measure="1" displayFolder="" measureGroup="Table1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06159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16800-91BA-40FF-81B6-76DEBD3CCF68}" name="PivotTable1" cacheId="4" applyNumberFormats="0" applyBorderFormats="0" applyFontFormats="0" applyPatternFormats="0" applyAlignmentFormats="0" applyWidthHeightFormats="1" dataCaption="Values" tag="b280c4c5-5695-4389-9694-d9eafcbabcf0" updatedVersion="8" minRefreshableVersion="3" subtotalHiddenItems="1" itemPrintTitles="1" createdVersion="8" indent="0" outline="1" outlineData="1" multipleFieldFilters="0" chartFormat="21" rowHeaderCaption="Date">
  <location ref="A5:B33" firstHeaderRow="1" firstDataRow="1" firstDataCol="1"/>
  <pivotFields count="4">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Total" fld="0" baseField="0" baseItem="0"/>
  </dataFields>
  <chartFormats count="3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2"/>
          </reference>
        </references>
      </pivotArea>
    </chartFormat>
    <chartFormat chart="15" format="5" series="1">
      <pivotArea type="data" outline="0" fieldPosition="0">
        <references count="2">
          <reference field="4294967294" count="1" selected="0">
            <x v="0"/>
          </reference>
          <reference field="1" count="1" selected="0">
            <x v="3"/>
          </reference>
        </references>
      </pivotArea>
    </chartFormat>
    <chartFormat chart="15" format="6" series="1">
      <pivotArea type="data" outline="0" fieldPosition="0">
        <references count="2">
          <reference field="4294967294" count="1" selected="0">
            <x v="0"/>
          </reference>
          <reference field="1" count="1" selected="0">
            <x v="4"/>
          </reference>
        </references>
      </pivotArea>
    </chartFormat>
    <chartFormat chart="15" format="7" series="1">
      <pivotArea type="data" outline="0" fieldPosition="0">
        <references count="2">
          <reference field="4294967294" count="1" selected="0">
            <x v="0"/>
          </reference>
          <reference field="1" count="1" selected="0">
            <x v="5"/>
          </reference>
        </references>
      </pivotArea>
    </chartFormat>
    <chartFormat chart="15" format="8" series="1">
      <pivotArea type="data" outline="0" fieldPosition="0">
        <references count="2">
          <reference field="4294967294" count="1" selected="0">
            <x v="0"/>
          </reference>
          <reference field="1" count="1" selected="0">
            <x v="6"/>
          </reference>
        </references>
      </pivotArea>
    </chartFormat>
    <chartFormat chart="15" format="9" series="1">
      <pivotArea type="data" outline="0" fieldPosition="0">
        <references count="2">
          <reference field="4294967294" count="1" selected="0">
            <x v="0"/>
          </reference>
          <reference field="1" count="1" selected="0">
            <x v="7"/>
          </reference>
        </references>
      </pivotArea>
    </chartFormat>
    <chartFormat chart="15" format="10" series="1">
      <pivotArea type="data" outline="0" fieldPosition="0">
        <references count="2">
          <reference field="4294967294" count="1" selected="0">
            <x v="0"/>
          </reference>
          <reference field="1" count="1" selected="0">
            <x v="8"/>
          </reference>
        </references>
      </pivotArea>
    </chartFormat>
    <chartFormat chart="15" format="11" series="1">
      <pivotArea type="data" outline="0" fieldPosition="0">
        <references count="2">
          <reference field="4294967294" count="1" selected="0">
            <x v="0"/>
          </reference>
          <reference field="1" count="1" selected="0">
            <x v="9"/>
          </reference>
        </references>
      </pivotArea>
    </chartFormat>
    <chartFormat chart="15" format="12" series="1">
      <pivotArea type="data" outline="0" fieldPosition="0">
        <references count="2">
          <reference field="4294967294" count="1" selected="0">
            <x v="0"/>
          </reference>
          <reference field="1" count="1" selected="0">
            <x v="10"/>
          </reference>
        </references>
      </pivotArea>
    </chartFormat>
    <chartFormat chart="15" format="13" series="1">
      <pivotArea type="data" outline="0" fieldPosition="0">
        <references count="2">
          <reference field="4294967294" count="1" selected="0">
            <x v="0"/>
          </reference>
          <reference field="1" count="1" selected="0">
            <x v="11"/>
          </reference>
        </references>
      </pivotArea>
    </chartFormat>
    <chartFormat chart="15" format="14" series="1">
      <pivotArea type="data" outline="0" fieldPosition="0">
        <references count="2">
          <reference field="4294967294" count="1" selected="0">
            <x v="0"/>
          </reference>
          <reference field="1" count="1" selected="0">
            <x v="12"/>
          </reference>
        </references>
      </pivotArea>
    </chartFormat>
    <chartFormat chart="15" format="15" series="1">
      <pivotArea type="data" outline="0" fieldPosition="0">
        <references count="2">
          <reference field="4294967294" count="1" selected="0">
            <x v="0"/>
          </reference>
          <reference field="1" count="1" selected="0">
            <x v="13"/>
          </reference>
        </references>
      </pivotArea>
    </chartFormat>
    <chartFormat chart="15" format="16" series="1">
      <pivotArea type="data" outline="0" fieldPosition="0">
        <references count="2">
          <reference field="4294967294" count="1" selected="0">
            <x v="0"/>
          </reference>
          <reference field="1" count="1" selected="0">
            <x v="14"/>
          </reference>
        </references>
      </pivotArea>
    </chartFormat>
    <chartFormat chart="15" format="17" series="1">
      <pivotArea type="data" outline="0" fieldPosition="0">
        <references count="2">
          <reference field="4294967294" count="1" selected="0">
            <x v="0"/>
          </reference>
          <reference field="1" count="1" selected="0">
            <x v="15"/>
          </reference>
        </references>
      </pivotArea>
    </chartFormat>
    <chartFormat chart="15" format="18" series="1">
      <pivotArea type="data" outline="0" fieldPosition="0">
        <references count="2">
          <reference field="4294967294" count="1" selected="0">
            <x v="0"/>
          </reference>
          <reference field="1" count="1" selected="0">
            <x v="16"/>
          </reference>
        </references>
      </pivotArea>
    </chartFormat>
    <chartFormat chart="15" format="19" series="1">
      <pivotArea type="data" outline="0" fieldPosition="0">
        <references count="2">
          <reference field="4294967294" count="1" selected="0">
            <x v="0"/>
          </reference>
          <reference field="1" count="1" selected="0">
            <x v="17"/>
          </reference>
        </references>
      </pivotArea>
    </chartFormat>
    <chartFormat chart="15" format="20" series="1">
      <pivotArea type="data" outline="0" fieldPosition="0">
        <references count="2">
          <reference field="4294967294" count="1" selected="0">
            <x v="0"/>
          </reference>
          <reference field="1" count="1" selected="0">
            <x v="18"/>
          </reference>
        </references>
      </pivotArea>
    </chartFormat>
    <chartFormat chart="15" format="21" series="1">
      <pivotArea type="data" outline="0" fieldPosition="0">
        <references count="2">
          <reference field="4294967294" count="1" selected="0">
            <x v="0"/>
          </reference>
          <reference field="1" count="1" selected="0">
            <x v="19"/>
          </reference>
        </references>
      </pivotArea>
    </chartFormat>
    <chartFormat chart="15" format="22" series="1">
      <pivotArea type="data" outline="0" fieldPosition="0">
        <references count="2">
          <reference field="4294967294" count="1" selected="0">
            <x v="0"/>
          </reference>
          <reference field="1" count="1" selected="0">
            <x v="20"/>
          </reference>
        </references>
      </pivotArea>
    </chartFormat>
    <chartFormat chart="15" format="23" series="1">
      <pivotArea type="data" outline="0" fieldPosition="0">
        <references count="2">
          <reference field="4294967294" count="1" selected="0">
            <x v="0"/>
          </reference>
          <reference field="1" count="1" selected="0">
            <x v="21"/>
          </reference>
        </references>
      </pivotArea>
    </chartFormat>
    <chartFormat chart="15" format="24" series="1">
      <pivotArea type="data" outline="0" fieldPosition="0">
        <references count="2">
          <reference field="4294967294" count="1" selected="0">
            <x v="0"/>
          </reference>
          <reference field="1" count="1" selected="0">
            <x v="22"/>
          </reference>
        </references>
      </pivotArea>
    </chartFormat>
    <chartFormat chart="15" format="25" series="1">
      <pivotArea type="data" outline="0" fieldPosition="0">
        <references count="2">
          <reference field="4294967294" count="1" selected="0">
            <x v="0"/>
          </reference>
          <reference field="1" count="1" selected="0">
            <x v="23"/>
          </reference>
        </references>
      </pivotArea>
    </chartFormat>
    <chartFormat chart="15" format="26" series="1">
      <pivotArea type="data" outline="0" fieldPosition="0">
        <references count="2">
          <reference field="4294967294" count="1" selected="0">
            <x v="0"/>
          </reference>
          <reference field="1" count="1" selected="0">
            <x v="24"/>
          </reference>
        </references>
      </pivotArea>
    </chartFormat>
    <chartFormat chart="15" format="27" series="1">
      <pivotArea type="data" outline="0" fieldPosition="0">
        <references count="2">
          <reference field="4294967294" count="1" selected="0">
            <x v="0"/>
          </reference>
          <reference field="1" count="1" selected="0">
            <x v="25"/>
          </reference>
        </references>
      </pivotArea>
    </chartFormat>
    <chartFormat chart="15" format="28" series="1">
      <pivotArea type="data" outline="0" fieldPosition="0">
        <references count="2">
          <reference field="4294967294" count="1" selected="0">
            <x v="0"/>
          </reference>
          <reference field="1" count="1" selected="0">
            <x v="26"/>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cordsOfJune.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14CEA-F20D-4B6E-A80D-0DD46833D467}" name="PivotTable7" cacheId="3" applyNumberFormats="0" applyBorderFormats="0" applyFontFormats="0" applyPatternFormats="0" applyAlignmentFormats="0" applyWidthHeightFormats="1" dataCaption="Values" tag="51ea2e8d-0e2e-4b63-83fc-ea0daed40c39" updatedVersion="8" minRefreshableVersion="3" useAutoFormatting="1" subtotalHiddenItems="1" itemPrintTitles="1" createdVersion="8" indent="0" outline="1" outlineData="1" multipleFieldFilters="0" chartFormat="12" rowHeaderCaption="Days">
  <location ref="J5:K13" firstHeaderRow="1" firstDataRow="1" firstDataCol="1"/>
  <pivotFields count="4">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fld="1" baseField="0" baseItem="0"/>
  </dataFields>
  <chartFormats count="2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5"/>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6"/>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6"/>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5"/>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6"/>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4"/>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Sum of Quantit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cordsOfJune.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48BBE0-F529-48BC-A417-D84AE251262F}" name="PivotTable4" cacheId="1" applyNumberFormats="0" applyBorderFormats="0" applyFontFormats="0" applyPatternFormats="0" applyAlignmentFormats="0" applyWidthHeightFormats="1" dataCaption="Values" tag="4fd09029-7d34-4a3b-9b7e-f4f536e14cbc" updatedVersion="8" minRefreshableVersion="3" useAutoFormatting="1" subtotalHiddenItems="1" itemPrintTitles="1" createdVersion="8" indent="0" outline="1" outlineData="1" multipleFieldFilters="0" chartFormat="6" rowHeaderCaption="Product">
  <location ref="G5:H16"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8"/>
    </i>
    <i>
      <x v="2"/>
    </i>
    <i>
      <x v="9"/>
    </i>
    <i>
      <x v="7"/>
    </i>
    <i>
      <x v="4"/>
    </i>
    <i>
      <x v="1"/>
    </i>
    <i>
      <x v="3"/>
    </i>
    <i>
      <x v="5"/>
    </i>
    <i>
      <x v="6"/>
    </i>
    <i t="grand">
      <x/>
    </i>
  </rowItems>
  <colItems count="1">
    <i/>
  </colItems>
  <dataFields count="1">
    <dataField name="Sum of Quantity"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Sum of Quantit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cordsOfJune.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542AE1-15C2-4F75-AE03-90F8A88714B9}" name="PivotTable5" cacheId="63" applyNumberFormats="0" applyBorderFormats="0" applyFontFormats="0" applyPatternFormats="0" applyAlignmentFormats="0" applyWidthHeightFormats="1" dataCaption="Values" tag="aed8d807-3f2a-42f3-b5b8-feaf7b8ec98d" updatedVersion="8" minRefreshableVersion="3" useAutoFormatting="1" subtotalHiddenItems="1" itemPrintTitles="1" createdVersion="8" indent="0" outline="1" outlineData="1" multipleFieldFilters="0" chartFormat="10" rowHeaderCaption="Week">
  <location ref="M5:N11"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1"/>
    </i>
    <i>
      <x v="3"/>
    </i>
    <i>
      <x v="4"/>
    </i>
    <i t="grand">
      <x/>
    </i>
  </rowItems>
  <colItems count="1">
    <i/>
  </colItems>
  <dataFields count="1">
    <dataField name="Sum of Total"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cordsOfJune.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575260-8F3A-4427-B693-AA292C9AEC5E}" name="PivotTable3" cacheId="60" applyNumberFormats="0" applyBorderFormats="0" applyFontFormats="0" applyPatternFormats="0" applyAlignmentFormats="0" applyWidthHeightFormats="1" dataCaption="Values" tag="7aaf0d68-df83-4de9-95b0-e0a64fcaa7ac" updatedVersion="8" minRefreshableVersion="3" useAutoFormatting="1" subtotalHiddenItems="1" itemPrintTitles="1" createdVersion="8" indent="0" outline="1" outlineData="1" multipleFieldFilters="0" chartFormat="28" rowHeaderCaption="Product">
  <location ref="D5:E16"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4"/>
    </i>
    <i>
      <x v="7"/>
    </i>
    <i>
      <x v="3"/>
    </i>
    <i>
      <x v="6"/>
    </i>
    <i>
      <x v="9"/>
    </i>
    <i>
      <x v="8"/>
    </i>
    <i>
      <x v="2"/>
    </i>
    <i>
      <x v="5"/>
    </i>
    <i>
      <x/>
    </i>
    <i t="grand">
      <x/>
    </i>
  </rowItems>
  <colItems count="1">
    <i/>
  </colItems>
  <dataFields count="1">
    <dataField name="Sum of Total" fld="1" baseField="0" baseItem="0"/>
  </dataFields>
  <chartFormats count="8">
    <chartFormat chart="4"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0">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cordsOfJune.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BFF8D-1250-4D99-9B1C-F39976C489DF}" name="PivotTable6" cacheId="24" applyNumberFormats="0" applyBorderFormats="0" applyFontFormats="0" applyPatternFormats="0" applyAlignmentFormats="0" applyWidthHeightFormats="1" dataCaption="Values" tag="192a2c6e-7e51-4032-9776-ce2014215990" updatedVersion="8" minRefreshableVersion="3" useAutoFormatting="1" itemPrintTitles="1" createdVersion="8" indent="0" outline="1" outlineData="1" multipleFieldFilters="0">
  <location ref="D19:D2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Range" xr10:uid="{1CFA648A-DD93-45AE-A678-8427045CD491}" sourceName="[Table13].[Date Range]">
  <pivotTables>
    <pivotTable tabId="3" name="PivotTable1"/>
    <pivotTable tabId="3" name="PivotTable3"/>
    <pivotTable tabId="3" name="PivotTable4"/>
    <pivotTable tabId="3" name="PivotTable5"/>
    <pivotTable tabId="3" name="PivotTable7"/>
  </pivotTables>
  <data>
    <olap pivotCacheId="620615910">
      <levels count="2">
        <level uniqueName="[Table13].[Date Range].[(All)]" sourceCaption="(All)" count="0"/>
        <level uniqueName="[Table13].[Date Range].[Date Range]" sourceCaption="Date Range" count="5">
          <ranges>
            <range startItem="0">
              <i n="[Table13].[Date Range].&amp;[01-07]" c="01-07"/>
              <i n="[Table13].[Date Range].&amp;[08-14]" c="08-14"/>
              <i n="[Table13].[Date Range].&amp;[15-21]" c="15-21"/>
              <i n="[Table13].[Date Range].&amp;[22-28]" c="22-28"/>
              <i n="[Table13].[Date Range].&amp;[29-30]" c="29-30"/>
            </range>
          </ranges>
        </level>
      </levels>
      <selections count="1">
        <selection n="[Table13].[Date Ran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2441F29D-376C-43DB-BD60-13069182CD09}" sourceName="[Table13].[Week]">
  <pivotTables>
    <pivotTable tabId="3" name="PivotTable1"/>
    <pivotTable tabId="3" name="PivotTable3"/>
    <pivotTable tabId="3" name="PivotTable4"/>
    <pivotTable tabId="3" name="PivotTable5"/>
    <pivotTable tabId="3" name="PivotTable7"/>
  </pivotTables>
  <data>
    <olap pivotCacheId="620615910">
      <levels count="2">
        <level uniqueName="[Table13].[Week].[(All)]" sourceCaption="(All)" count="0"/>
        <level uniqueName="[Table13].[Week].[Week]" sourceCaption="Week" count="5">
          <ranges>
            <range startItem="0">
              <i n="[Table13].[Week].&amp;[Week 1]" c="Week 1"/>
              <i n="[Table13].[Week].&amp;[Week 2]" c="Week 2"/>
              <i n="[Table13].[Week].&amp;[Week 3]" c="Week 3"/>
              <i n="[Table13].[Week].&amp;[Week 4]" c="Week 4"/>
              <i n="[Table13].[Week].&amp;[Week 5]" c="Week 5"/>
            </range>
          </ranges>
        </level>
      </levels>
      <selections count="1">
        <selection n="[Table13].[Wee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Range" xr10:uid="{28B16AB0-9BD8-40C4-B64C-34324267EFDF}" cache="Slicer_Date_Range" caption="Date Range" level="1" rowHeight="612000"/>
  <slicer name="Week" xr10:uid="{CF9AB718-1870-4513-9938-15FAEFC8346A}" cache="Slicer_Week" caption="Week" columnCount="2" level="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C3C2C-0728-4BEF-BEE1-4453430750F3}" name="Table13" displayName="Table13" ref="A1:I555" totalsRowShown="0" headerRowDxfId="12" dataDxfId="10" headerRowBorderDxfId="11" tableBorderDxfId="9">
  <autoFilter ref="A1:I555" xr:uid="{97EC3C2C-0728-4BEF-BEE1-4453430750F3}"/>
  <tableColumns count="9">
    <tableColumn id="1" xr3:uid="{4AE80BEC-421D-4B40-A05F-ABD690D2477A}" name="Date" dataDxfId="8"/>
    <tableColumn id="2" xr3:uid="{2D48C9DE-C310-4DA6-8C71-399EA6C15F32}" name="Product Name(RAW)" dataDxfId="7"/>
    <tableColumn id="3" xr3:uid="{601E0AC2-F54E-4084-8CF1-BF37079C9F93}" name="Quantity" dataDxfId="6"/>
    <tableColumn id="4" xr3:uid="{8FD731F2-FA52-4B9E-88D2-3B4F12B57338}" name="Price " dataDxfId="5"/>
    <tableColumn id="5" xr3:uid="{96237B91-0BEA-4A81-9E98-5912F00A5A66}" name="Total Sales" dataDxfId="4"/>
    <tableColumn id="7" xr3:uid="{1919D217-769A-4D01-A6F6-7C72B292F0B3}" name="Product Name" dataDxfId="3">
      <calculatedColumnFormula>PROPER(Table13[[#This Row],[Product Name(RAW)]])</calculatedColumnFormula>
    </tableColumn>
    <tableColumn id="8" xr3:uid="{9DF3FD4F-872A-4760-837F-3894167BCF2E}" name="Day" dataDxfId="2">
      <calculatedColumnFormula>TEXT(Table13[[#This Row],[Date]],"dddd")</calculatedColumnFormula>
    </tableColumn>
    <tableColumn id="6" xr3:uid="{36A7B046-36B5-4B9E-8A19-CC38732E7209}" name="Week" dataDxfId="1">
      <calculatedColumnFormula>"Week "&amp;ROUNDUP(DAY(A2)/7,0)</calculatedColumnFormula>
    </tableColumn>
    <tableColumn id="9" xr3:uid="{D6A233CE-5436-4FD6-B101-63D1651A0C1B}" name="Date Range" dataDxfId="0">
      <calculatedColumnFormula>IF(DAY(A2)&lt;=7,"01-07",
IF(DAY(A2)&lt;=14,"08-14",
IF(DAY(A2)&lt;=21,"15-21",
IF(DAY(A2)&lt;=28,"22-28","29-30"))))</calculatedColumnFormula>
    </tableColumn>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10BA3-0AEC-447E-A54C-F03C3B13E1F2}">
  <dimension ref="A1:I555"/>
  <sheetViews>
    <sheetView topLeftCell="C1" workbookViewId="0">
      <selection activeCell="J1" sqref="J1:J2"/>
    </sheetView>
  </sheetViews>
  <sheetFormatPr defaultRowHeight="15" x14ac:dyDescent="0.25"/>
  <cols>
    <col min="1" max="1" width="22.28515625" style="12" customWidth="1"/>
    <col min="2" max="2" width="24.85546875" customWidth="1"/>
    <col min="3" max="5" width="22.28515625" customWidth="1"/>
    <col min="6" max="6" width="27" bestFit="1" customWidth="1"/>
    <col min="7" max="7" width="14.7109375" customWidth="1"/>
    <col min="8" max="8" width="14.42578125" customWidth="1"/>
    <col min="9" max="9" width="14.85546875" customWidth="1"/>
    <col min="10" max="10" width="14.140625" customWidth="1"/>
    <col min="11" max="11" width="17.28515625" bestFit="1" customWidth="1"/>
    <col min="12" max="12" width="16.7109375" customWidth="1"/>
  </cols>
  <sheetData>
    <row r="1" spans="1:9" ht="18.75" x14ac:dyDescent="0.25">
      <c r="A1" s="8" t="s">
        <v>0</v>
      </c>
      <c r="B1" s="7" t="s">
        <v>266</v>
      </c>
      <c r="C1" s="7" t="s">
        <v>2</v>
      </c>
      <c r="D1" s="7" t="s">
        <v>3</v>
      </c>
      <c r="E1" s="7" t="s">
        <v>319</v>
      </c>
      <c r="F1" s="7" t="s">
        <v>1</v>
      </c>
      <c r="G1" s="7" t="s">
        <v>296</v>
      </c>
      <c r="H1" s="7" t="s">
        <v>310</v>
      </c>
      <c r="I1" s="7" t="s">
        <v>320</v>
      </c>
    </row>
    <row r="2" spans="1:9" ht="18.75" x14ac:dyDescent="0.3">
      <c r="A2" s="1">
        <v>46174</v>
      </c>
      <c r="B2" s="2" t="s">
        <v>4</v>
      </c>
      <c r="C2" s="2">
        <v>3</v>
      </c>
      <c r="D2" s="2">
        <v>100</v>
      </c>
      <c r="E2" s="2">
        <f>Table13[[#This Row],[Quantity]]*Table13[[#This Row],[Price ]]</f>
        <v>300</v>
      </c>
      <c r="F2" s="3" t="str">
        <f>PROPER(Table13[[#This Row],[Product Name(RAW)]])</f>
        <v xml:space="preserve">12W Halonex Light </v>
      </c>
      <c r="G2" s="3" t="str">
        <f>TEXT(Table13[[#This Row],[Date]],"dddd")</f>
        <v>Monday</v>
      </c>
      <c r="H2" s="3" t="str">
        <f>"Week "&amp;ROUNDUP(DAY(A2)/7,0)</f>
        <v>Week 1</v>
      </c>
      <c r="I2" s="3" t="str">
        <f t="shared" ref="I2:I65" si="0">IF(DAY(A2)&lt;=7,"01-07",
IF(DAY(A2)&lt;=14,"08-14",
IF(DAY(A2)&lt;=21,"15-21",
IF(DAY(A2)&lt;=28,"22-28","29-30"))))</f>
        <v>01-07</v>
      </c>
    </row>
    <row r="3" spans="1:9" ht="18.75" x14ac:dyDescent="0.3">
      <c r="A3" s="1">
        <v>46174</v>
      </c>
      <c r="B3" s="2" t="s">
        <v>5</v>
      </c>
      <c r="C3" s="2">
        <v>1</v>
      </c>
      <c r="D3" s="2">
        <v>2900</v>
      </c>
      <c r="E3" s="2">
        <f>Table13[[#This Row],[Quantity]]*Table13[[#This Row],[Price ]]</f>
        <v>2900</v>
      </c>
      <c r="F3" s="3" t="str">
        <f>PROPER(Table13[[#This Row],[Product Name(RAW)]])</f>
        <v xml:space="preserve">Crown 2500W Infra </v>
      </c>
      <c r="G3" s="3" t="str">
        <f>TEXT(Table13[[#This Row],[Date]],"dddd")</f>
        <v>Monday</v>
      </c>
      <c r="H3" s="3" t="str">
        <f t="shared" ref="H3:H65" si="1">"Week "&amp;ROUNDUP(DAY(A3)/7,0)</f>
        <v>Week 1</v>
      </c>
      <c r="I3" s="3" t="str">
        <f t="shared" si="0"/>
        <v>01-07</v>
      </c>
    </row>
    <row r="4" spans="1:9" ht="18.75" x14ac:dyDescent="0.3">
      <c r="A4" s="1">
        <v>46174</v>
      </c>
      <c r="B4" s="2" t="s">
        <v>6</v>
      </c>
      <c r="C4" s="2">
        <v>2</v>
      </c>
      <c r="D4" s="2">
        <v>150</v>
      </c>
      <c r="E4" s="2">
        <f>Table13[[#This Row],[Quantity]]*Table13[[#This Row],[Price ]]</f>
        <v>300</v>
      </c>
      <c r="F4" s="3" t="str">
        <f>PROPER(Table13[[#This Row],[Product Name(RAW)]])</f>
        <v xml:space="preserve">Cona Ss Com Box </v>
      </c>
      <c r="G4" s="3" t="str">
        <f>TEXT(Table13[[#This Row],[Date]],"dddd")</f>
        <v>Monday</v>
      </c>
      <c r="H4" s="3" t="str">
        <f t="shared" si="1"/>
        <v>Week 1</v>
      </c>
      <c r="I4" s="3" t="str">
        <f t="shared" si="0"/>
        <v>01-07</v>
      </c>
    </row>
    <row r="5" spans="1:9" ht="18.75" x14ac:dyDescent="0.3">
      <c r="A5" s="1">
        <v>46174</v>
      </c>
      <c r="B5" s="2" t="s">
        <v>14</v>
      </c>
      <c r="C5" s="2">
        <v>1</v>
      </c>
      <c r="D5" s="2">
        <v>40</v>
      </c>
      <c r="E5" s="2">
        <f>Table13[[#This Row],[Quantity]]*Table13[[#This Row],[Price ]]</f>
        <v>40</v>
      </c>
      <c r="F5" s="3" t="str">
        <f>PROPER(Table13[[#This Row],[Product Name(RAW)]])</f>
        <v>Visha L Coil</v>
      </c>
      <c r="G5" s="3" t="str">
        <f>TEXT(Table13[[#This Row],[Date]],"dddd")</f>
        <v>Monday</v>
      </c>
      <c r="H5" s="3" t="str">
        <f t="shared" si="1"/>
        <v>Week 1</v>
      </c>
      <c r="I5" s="3" t="str">
        <f t="shared" si="0"/>
        <v>01-07</v>
      </c>
    </row>
    <row r="6" spans="1:9" ht="18.75" x14ac:dyDescent="0.3">
      <c r="A6" s="1">
        <v>46174</v>
      </c>
      <c r="B6" s="2" t="s">
        <v>7</v>
      </c>
      <c r="C6" s="2">
        <v>45</v>
      </c>
      <c r="D6" s="2">
        <v>10</v>
      </c>
      <c r="E6" s="2">
        <f>45*Table13[[#This Row],[Price ]]</f>
        <v>450</v>
      </c>
      <c r="F6" s="3" t="str">
        <f>PROPER(Table13[[#This Row],[Product Name(RAW)]])</f>
        <v xml:space="preserve">2.5 Mm Ss Wire </v>
      </c>
      <c r="G6" s="3" t="str">
        <f>TEXT(Table13[[#This Row],[Date]],"dddd")</f>
        <v>Monday</v>
      </c>
      <c r="H6" s="3" t="str">
        <f t="shared" si="1"/>
        <v>Week 1</v>
      </c>
      <c r="I6" s="3" t="str">
        <f t="shared" si="0"/>
        <v>01-07</v>
      </c>
    </row>
    <row r="7" spans="1:9" ht="18.75" x14ac:dyDescent="0.3">
      <c r="A7" s="1">
        <v>46174</v>
      </c>
      <c r="B7" s="2" t="s">
        <v>18</v>
      </c>
      <c r="C7" s="2">
        <v>1</v>
      </c>
      <c r="D7" s="2">
        <v>50</v>
      </c>
      <c r="E7" s="2">
        <f>Table13[[#This Row],[Quantity]]*Table13[[#This Row],[Price ]]</f>
        <v>50</v>
      </c>
      <c r="F7" s="3" t="str">
        <f>PROPER(Table13[[#This Row],[Product Name(RAW)]])</f>
        <v xml:space="preserve">6A Top Pin Cona </v>
      </c>
      <c r="G7" s="3" t="str">
        <f>TEXT(Table13[[#This Row],[Date]],"dddd")</f>
        <v>Monday</v>
      </c>
      <c r="H7" s="3" t="str">
        <f t="shared" si="1"/>
        <v>Week 1</v>
      </c>
      <c r="I7" s="3" t="str">
        <f t="shared" si="0"/>
        <v>01-07</v>
      </c>
    </row>
    <row r="8" spans="1:9" ht="18.75" x14ac:dyDescent="0.3">
      <c r="A8" s="1">
        <v>46174</v>
      </c>
      <c r="B8" s="2" t="s">
        <v>8</v>
      </c>
      <c r="C8" s="2">
        <v>1</v>
      </c>
      <c r="D8" s="2">
        <v>140</v>
      </c>
      <c r="E8" s="2">
        <f>Table13[[#This Row],[Quantity]]*Table13[[#This Row],[Price ]]</f>
        <v>140</v>
      </c>
      <c r="F8" s="3" t="str">
        <f>PROPER(Table13[[#This Row],[Product Name(RAW)]])</f>
        <v xml:space="preserve">Power Plate </v>
      </c>
      <c r="G8" s="3" t="str">
        <f>TEXT(Table13[[#This Row],[Date]],"dddd")</f>
        <v>Monday</v>
      </c>
      <c r="H8" s="3" t="str">
        <f t="shared" si="1"/>
        <v>Week 1</v>
      </c>
      <c r="I8" s="3" t="str">
        <f t="shared" si="0"/>
        <v>01-07</v>
      </c>
    </row>
    <row r="9" spans="1:9" ht="18.75" x14ac:dyDescent="0.3">
      <c r="A9" s="1">
        <v>46174</v>
      </c>
      <c r="B9" s="2" t="s">
        <v>9</v>
      </c>
      <c r="C9" s="2">
        <v>1</v>
      </c>
      <c r="D9" s="2">
        <v>200</v>
      </c>
      <c r="E9" s="2">
        <f>Table13[[#This Row],[Quantity]]*Table13[[#This Row],[Price ]]</f>
        <v>200</v>
      </c>
      <c r="F9" s="3" t="str">
        <f>PROPER(Table13[[#This Row],[Product Name(RAW)]])</f>
        <v xml:space="preserve">12 M Complet Bord </v>
      </c>
      <c r="G9" s="3" t="str">
        <f>TEXT(Table13[[#This Row],[Date]],"dddd")</f>
        <v>Monday</v>
      </c>
      <c r="H9" s="3" t="str">
        <f t="shared" si="1"/>
        <v>Week 1</v>
      </c>
      <c r="I9" s="3" t="str">
        <f t="shared" si="0"/>
        <v>01-07</v>
      </c>
    </row>
    <row r="10" spans="1:9" ht="18.75" x14ac:dyDescent="0.3">
      <c r="A10" s="1">
        <v>46174</v>
      </c>
      <c r="B10" s="2" t="s">
        <v>10</v>
      </c>
      <c r="C10" s="2">
        <v>1</v>
      </c>
      <c r="D10" s="2">
        <v>50</v>
      </c>
      <c r="E10" s="2">
        <f>Table13[[#This Row],[Quantity]]*Table13[[#This Row],[Price ]]</f>
        <v>50</v>
      </c>
      <c r="F10" s="3" t="str">
        <f>PROPER(Table13[[#This Row],[Product Name(RAW)]])</f>
        <v xml:space="preserve">Tapariya Tester </v>
      </c>
      <c r="G10" s="3" t="str">
        <f>TEXT(Table13[[#This Row],[Date]],"dddd")</f>
        <v>Monday</v>
      </c>
      <c r="H10" s="3" t="str">
        <f t="shared" si="1"/>
        <v>Week 1</v>
      </c>
      <c r="I10" s="3" t="str">
        <f t="shared" si="0"/>
        <v>01-07</v>
      </c>
    </row>
    <row r="11" spans="1:9" ht="18.75" x14ac:dyDescent="0.3">
      <c r="A11" s="1">
        <v>46174</v>
      </c>
      <c r="B11" s="2" t="s">
        <v>19</v>
      </c>
      <c r="C11" s="2">
        <v>1</v>
      </c>
      <c r="D11" s="2">
        <v>120</v>
      </c>
      <c r="E11" s="2">
        <f>Table13[[#This Row],[Quantity]]*Table13[[#This Row],[Price ]]</f>
        <v>120</v>
      </c>
      <c r="F11" s="3" t="str">
        <f>PROPER(Table13[[#This Row],[Product Name(RAW)]])</f>
        <v xml:space="preserve">Cona Dp Switch </v>
      </c>
      <c r="G11" s="3" t="str">
        <f>TEXT(Table13[[#This Row],[Date]],"dddd")</f>
        <v>Monday</v>
      </c>
      <c r="H11" s="3" t="str">
        <f t="shared" si="1"/>
        <v>Week 1</v>
      </c>
      <c r="I11" s="3" t="str">
        <f t="shared" si="0"/>
        <v>01-07</v>
      </c>
    </row>
    <row r="12" spans="1:9" ht="18.75" x14ac:dyDescent="0.3">
      <c r="A12" s="1">
        <v>46174</v>
      </c>
      <c r="B12" s="2" t="s">
        <v>11</v>
      </c>
      <c r="C12" s="2">
        <v>30</v>
      </c>
      <c r="D12" s="2">
        <v>20</v>
      </c>
      <c r="E12" s="2">
        <f>Table13[[#This Row],[Quantity]]*Table13[[#This Row],[Price ]]</f>
        <v>600</v>
      </c>
      <c r="F12" s="3" t="str">
        <f>PROPER(Table13[[#This Row],[Product Name(RAW)]])</f>
        <v xml:space="preserve">6A Switch Allazy </v>
      </c>
      <c r="G12" s="3" t="str">
        <f>TEXT(Table13[[#This Row],[Date]],"dddd")</f>
        <v>Monday</v>
      </c>
      <c r="H12" s="3" t="str">
        <f t="shared" si="1"/>
        <v>Week 1</v>
      </c>
      <c r="I12" s="3" t="str">
        <f t="shared" si="0"/>
        <v>01-07</v>
      </c>
    </row>
    <row r="13" spans="1:9" ht="18.75" x14ac:dyDescent="0.3">
      <c r="A13" s="1">
        <v>46174</v>
      </c>
      <c r="B13" s="2" t="s">
        <v>12</v>
      </c>
      <c r="C13" s="2">
        <v>1</v>
      </c>
      <c r="D13" s="2">
        <v>30</v>
      </c>
      <c r="E13" s="2">
        <f>Table13[[#This Row],[Quantity]]*Table13[[#This Row],[Price ]]</f>
        <v>30</v>
      </c>
      <c r="F13" s="3" t="str">
        <f>PROPER(Table13[[#This Row],[Product Name(RAW)]])</f>
        <v xml:space="preserve">1/2 Mcb Box </v>
      </c>
      <c r="G13" s="3" t="str">
        <f>TEXT(Table13[[#This Row],[Date]],"dddd")</f>
        <v>Monday</v>
      </c>
      <c r="H13" s="3" t="str">
        <f t="shared" si="1"/>
        <v>Week 1</v>
      </c>
      <c r="I13" s="3" t="str">
        <f t="shared" si="0"/>
        <v>01-07</v>
      </c>
    </row>
    <row r="14" spans="1:9" ht="18.75" x14ac:dyDescent="0.3">
      <c r="A14" s="1">
        <v>46174</v>
      </c>
      <c r="B14" s="2" t="s">
        <v>13</v>
      </c>
      <c r="C14" s="2">
        <v>1</v>
      </c>
      <c r="D14" s="2">
        <v>120</v>
      </c>
      <c r="E14" s="2">
        <f>Table13[[#This Row],[Quantity]]*Table13[[#This Row],[Price ]]</f>
        <v>120</v>
      </c>
      <c r="F14" s="3" t="str">
        <f>PROPER(Table13[[#This Row],[Product Name(RAW)]])</f>
        <v xml:space="preserve">Miter Patti </v>
      </c>
      <c r="G14" s="3" t="str">
        <f>TEXT(Table13[[#This Row],[Date]],"dddd")</f>
        <v>Monday</v>
      </c>
      <c r="H14" s="3" t="str">
        <f t="shared" si="1"/>
        <v>Week 1</v>
      </c>
      <c r="I14" s="3" t="str">
        <f t="shared" si="0"/>
        <v>01-07</v>
      </c>
    </row>
    <row r="15" spans="1:9" ht="18.75" x14ac:dyDescent="0.3">
      <c r="A15" s="1">
        <v>46174</v>
      </c>
      <c r="B15" s="2" t="s">
        <v>15</v>
      </c>
      <c r="C15" s="2">
        <v>1</v>
      </c>
      <c r="D15" s="2">
        <v>70</v>
      </c>
      <c r="E15" s="2">
        <f>Table13[[#This Row],[Quantity]]*Table13[[#This Row],[Price ]]</f>
        <v>70</v>
      </c>
      <c r="F15" s="3" t="str">
        <f>PROPER(Table13[[#This Row],[Product Name(RAW)]])</f>
        <v xml:space="preserve">16A Top </v>
      </c>
      <c r="G15" s="3" t="str">
        <f>TEXT(Table13[[#This Row],[Date]],"dddd")</f>
        <v>Monday</v>
      </c>
      <c r="H15" s="3" t="str">
        <f t="shared" si="1"/>
        <v>Week 1</v>
      </c>
      <c r="I15" s="3" t="str">
        <f t="shared" si="0"/>
        <v>01-07</v>
      </c>
    </row>
    <row r="16" spans="1:9" ht="18.75" x14ac:dyDescent="0.3">
      <c r="A16" s="1">
        <v>46174</v>
      </c>
      <c r="B16" s="2" t="s">
        <v>273</v>
      </c>
      <c r="C16" s="2">
        <v>1</v>
      </c>
      <c r="D16" s="2">
        <v>250</v>
      </c>
      <c r="E16" s="2">
        <f>Table13[[#This Row],[Quantity]]*Table13[[#This Row],[Price ]]</f>
        <v>250</v>
      </c>
      <c r="F16" s="3" t="str">
        <f>PROPER(Table13[[#This Row],[Product Name(RAW)]])</f>
        <v xml:space="preserve">Shegdi </v>
      </c>
      <c r="G16" s="3" t="str">
        <f>TEXT(Table13[[#This Row],[Date]],"dddd")</f>
        <v>Monday</v>
      </c>
      <c r="H16" s="3" t="str">
        <f t="shared" si="1"/>
        <v>Week 1</v>
      </c>
      <c r="I16" s="3" t="str">
        <f t="shared" si="0"/>
        <v>01-07</v>
      </c>
    </row>
    <row r="17" spans="1:9" ht="18.75" x14ac:dyDescent="0.3">
      <c r="A17" s="1">
        <v>46175</v>
      </c>
      <c r="B17" s="2" t="s">
        <v>16</v>
      </c>
      <c r="C17" s="2">
        <v>10</v>
      </c>
      <c r="D17" s="2">
        <v>10</v>
      </c>
      <c r="E17" s="2">
        <f>Table13[[#This Row],[Quantity]]*Table13[[#This Row],[Price ]]</f>
        <v>100</v>
      </c>
      <c r="F17" s="3" t="str">
        <f>PROPER(Table13[[#This Row],[Product Name(RAW)]])</f>
        <v xml:space="preserve">2.5M M Ss Wire </v>
      </c>
      <c r="G17" s="3" t="str">
        <f>TEXT(Table13[[#This Row],[Date]],"dddd")</f>
        <v>Tuesday</v>
      </c>
      <c r="H17" s="3" t="str">
        <f t="shared" si="1"/>
        <v>Week 1</v>
      </c>
      <c r="I17" s="3" t="str">
        <f t="shared" si="0"/>
        <v>01-07</v>
      </c>
    </row>
    <row r="18" spans="1:9" ht="18.75" x14ac:dyDescent="0.3">
      <c r="A18" s="1">
        <v>46175</v>
      </c>
      <c r="B18" s="2" t="s">
        <v>273</v>
      </c>
      <c r="C18" s="2">
        <v>1</v>
      </c>
      <c r="D18" s="2">
        <v>220</v>
      </c>
      <c r="E18" s="2">
        <f>Table13[[#This Row],[Quantity]]*Table13[[#This Row],[Price ]]</f>
        <v>220</v>
      </c>
      <c r="F18" s="3" t="str">
        <f>PROPER(Table13[[#This Row],[Product Name(RAW)]])</f>
        <v xml:space="preserve">Shegdi </v>
      </c>
      <c r="G18" s="3" t="str">
        <f>TEXT(Table13[[#This Row],[Date]],"dddd")</f>
        <v>Tuesday</v>
      </c>
      <c r="H18" s="3" t="str">
        <f t="shared" si="1"/>
        <v>Week 1</v>
      </c>
      <c r="I18" s="3" t="str">
        <f t="shared" si="0"/>
        <v>01-07</v>
      </c>
    </row>
    <row r="19" spans="1:9" ht="18.75" x14ac:dyDescent="0.3">
      <c r="A19" s="1">
        <v>46175</v>
      </c>
      <c r="B19" s="2" t="s">
        <v>17</v>
      </c>
      <c r="C19" s="2">
        <v>1</v>
      </c>
      <c r="D19" s="2">
        <v>30</v>
      </c>
      <c r="E19" s="2">
        <f>Table13[[#This Row],[Quantity]]*Table13[[#This Row],[Price ]]</f>
        <v>30</v>
      </c>
      <c r="F19" s="3" t="str">
        <f>PROPER(Table13[[#This Row],[Product Name(RAW)]])</f>
        <v xml:space="preserve">2.5 Capacitor </v>
      </c>
      <c r="G19" s="3" t="str">
        <f>TEXT(Table13[[#This Row],[Date]],"dddd")</f>
        <v>Tuesday</v>
      </c>
      <c r="H19" s="3" t="str">
        <f t="shared" si="1"/>
        <v>Week 1</v>
      </c>
      <c r="I19" s="3" t="str">
        <f t="shared" si="0"/>
        <v>01-07</v>
      </c>
    </row>
    <row r="20" spans="1:9" ht="18.75" x14ac:dyDescent="0.3">
      <c r="A20" s="1">
        <v>46175</v>
      </c>
      <c r="B20" s="2" t="s">
        <v>20</v>
      </c>
      <c r="C20" s="2">
        <v>1</v>
      </c>
      <c r="D20" s="2">
        <v>2800</v>
      </c>
      <c r="E20" s="2">
        <f>Table13[[#This Row],[Quantity]]*Table13[[#This Row],[Price ]]</f>
        <v>2800</v>
      </c>
      <c r="F20" s="3" t="str">
        <f>PROPER(Table13[[#This Row],[Product Name(RAW)]])</f>
        <v xml:space="preserve">2500W Infra </v>
      </c>
      <c r="G20" s="3" t="str">
        <f>TEXT(Table13[[#This Row],[Date]],"dddd")</f>
        <v>Tuesday</v>
      </c>
      <c r="H20" s="3" t="str">
        <f t="shared" si="1"/>
        <v>Week 1</v>
      </c>
      <c r="I20" s="3" t="str">
        <f t="shared" si="0"/>
        <v>01-07</v>
      </c>
    </row>
    <row r="21" spans="1:9" ht="18.75" x14ac:dyDescent="0.3">
      <c r="A21" s="1">
        <v>46175</v>
      </c>
      <c r="B21" s="2" t="s">
        <v>21</v>
      </c>
      <c r="C21" s="2">
        <v>1</v>
      </c>
      <c r="D21" s="2">
        <v>330</v>
      </c>
      <c r="E21" s="2">
        <f>Table13[[#This Row],[Quantity]]*Table13[[#This Row],[Price ]]</f>
        <v>330</v>
      </c>
      <c r="F21" s="3" t="str">
        <f>PROPER(Table13[[#This Row],[Product Name(RAW)]])</f>
        <v xml:space="preserve">9W Charging Light </v>
      </c>
      <c r="G21" s="3" t="str">
        <f>TEXT(Table13[[#This Row],[Date]],"dddd")</f>
        <v>Tuesday</v>
      </c>
      <c r="H21" s="3" t="str">
        <f t="shared" si="1"/>
        <v>Week 1</v>
      </c>
      <c r="I21" s="3" t="str">
        <f t="shared" si="0"/>
        <v>01-07</v>
      </c>
    </row>
    <row r="22" spans="1:9" ht="18.75" x14ac:dyDescent="0.3">
      <c r="A22" s="1">
        <v>46175</v>
      </c>
      <c r="B22" s="2" t="s">
        <v>22</v>
      </c>
      <c r="C22" s="2">
        <v>3</v>
      </c>
      <c r="D22" s="2">
        <v>10</v>
      </c>
      <c r="E22" s="2">
        <f>Table13[[#This Row],[Quantity]]*Table13[[#This Row],[Price ]]</f>
        <v>30</v>
      </c>
      <c r="F22" s="3" t="str">
        <f>PROPER(Table13[[#This Row],[Product Name(RAW)]])</f>
        <v xml:space="preserve">2 Core Wire </v>
      </c>
      <c r="G22" s="3" t="str">
        <f>TEXT(Table13[[#This Row],[Date]],"dddd")</f>
        <v>Tuesday</v>
      </c>
      <c r="H22" s="3" t="str">
        <f t="shared" si="1"/>
        <v>Week 1</v>
      </c>
      <c r="I22" s="3" t="str">
        <f t="shared" si="0"/>
        <v>01-07</v>
      </c>
    </row>
    <row r="23" spans="1:9" ht="18.75" x14ac:dyDescent="0.3">
      <c r="A23" s="1">
        <v>46175</v>
      </c>
      <c r="B23" s="2" t="s">
        <v>23</v>
      </c>
      <c r="C23" s="2">
        <v>1</v>
      </c>
      <c r="D23" s="2">
        <v>10</v>
      </c>
      <c r="E23" s="2">
        <f>Table13[[#This Row],[Quantity]]*Table13[[#This Row],[Price ]]</f>
        <v>10</v>
      </c>
      <c r="F23" s="3" t="str">
        <f>PROPER(Table13[[#This Row],[Product Name(RAW)]])</f>
        <v>2 Pin Top</v>
      </c>
      <c r="G23" s="3" t="str">
        <f>TEXT(Table13[[#This Row],[Date]],"dddd")</f>
        <v>Tuesday</v>
      </c>
      <c r="H23" s="3" t="str">
        <f t="shared" si="1"/>
        <v>Week 1</v>
      </c>
      <c r="I23" s="3" t="str">
        <f t="shared" si="0"/>
        <v>01-07</v>
      </c>
    </row>
    <row r="24" spans="1:9" ht="18.75" x14ac:dyDescent="0.3">
      <c r="A24" s="1">
        <v>46175</v>
      </c>
      <c r="B24" s="2" t="s">
        <v>24</v>
      </c>
      <c r="C24" s="2">
        <v>1</v>
      </c>
      <c r="D24" s="2">
        <v>10</v>
      </c>
      <c r="E24" s="2">
        <f>Table13[[#This Row],[Quantity]]*Table13[[#This Row],[Price ]]</f>
        <v>10</v>
      </c>
      <c r="F24" s="3" t="str">
        <f>PROPER(Table13[[#This Row],[Product Name(RAW)]])</f>
        <v xml:space="preserve">Sada Holder </v>
      </c>
      <c r="G24" s="3" t="str">
        <f>TEXT(Table13[[#This Row],[Date]],"dddd")</f>
        <v>Tuesday</v>
      </c>
      <c r="H24" s="3" t="str">
        <f t="shared" si="1"/>
        <v>Week 1</v>
      </c>
      <c r="I24" s="3" t="str">
        <f t="shared" si="0"/>
        <v>01-07</v>
      </c>
    </row>
    <row r="25" spans="1:9" ht="18.75" x14ac:dyDescent="0.3">
      <c r="A25" s="1">
        <v>46175</v>
      </c>
      <c r="B25" s="2" t="s">
        <v>25</v>
      </c>
      <c r="C25" s="2">
        <v>1</v>
      </c>
      <c r="D25" s="2">
        <v>10</v>
      </c>
      <c r="E25" s="2">
        <f>Table13[[#This Row],[Quantity]]*Table13[[#This Row],[Price ]]</f>
        <v>10</v>
      </c>
      <c r="F25" s="3" t="str">
        <f>PROPER(Table13[[#This Row],[Product Name(RAW)]])</f>
        <v xml:space="preserve">Teplon Tep </v>
      </c>
      <c r="G25" s="3" t="str">
        <f>TEXT(Table13[[#This Row],[Date]],"dddd")</f>
        <v>Tuesday</v>
      </c>
      <c r="H25" s="3" t="str">
        <f t="shared" si="1"/>
        <v>Week 1</v>
      </c>
      <c r="I25" s="3" t="str">
        <f t="shared" si="0"/>
        <v>01-07</v>
      </c>
    </row>
    <row r="26" spans="1:9" ht="18.75" x14ac:dyDescent="0.3">
      <c r="A26" s="1">
        <v>46175</v>
      </c>
      <c r="B26" s="2" t="s">
        <v>26</v>
      </c>
      <c r="C26" s="2">
        <v>1</v>
      </c>
      <c r="D26" s="2">
        <v>105</v>
      </c>
      <c r="E26" s="2">
        <f>Table13[[#This Row],[Quantity]]*Table13[[#This Row],[Price ]]</f>
        <v>105</v>
      </c>
      <c r="F26" s="3" t="str">
        <f>PROPER(Table13[[#This Row],[Product Name(RAW)]])</f>
        <v xml:space="preserve">8M Plate Jiva </v>
      </c>
      <c r="G26" s="3" t="str">
        <f>TEXT(Table13[[#This Row],[Date]],"dddd")</f>
        <v>Tuesday</v>
      </c>
      <c r="H26" s="3" t="str">
        <f t="shared" si="1"/>
        <v>Week 1</v>
      </c>
      <c r="I26" s="3" t="str">
        <f t="shared" si="0"/>
        <v>01-07</v>
      </c>
    </row>
    <row r="27" spans="1:9" ht="18.75" x14ac:dyDescent="0.3">
      <c r="A27" s="1">
        <v>46175</v>
      </c>
      <c r="B27" s="2" t="s">
        <v>27</v>
      </c>
      <c r="C27" s="2">
        <v>1</v>
      </c>
      <c r="D27" s="2">
        <v>85</v>
      </c>
      <c r="E27" s="2">
        <f>Table13[[#This Row],[Quantity]]*Table13[[#This Row],[Price ]]</f>
        <v>85</v>
      </c>
      <c r="F27" s="3" t="str">
        <f>PROPER(Table13[[#This Row],[Product Name(RAW)]])</f>
        <v>8 M Sarface</v>
      </c>
      <c r="G27" s="3" t="str">
        <f>TEXT(Table13[[#This Row],[Date]],"dddd")</f>
        <v>Tuesday</v>
      </c>
      <c r="H27" s="3" t="str">
        <f t="shared" si="1"/>
        <v>Week 1</v>
      </c>
      <c r="I27" s="3" t="str">
        <f t="shared" si="0"/>
        <v>01-07</v>
      </c>
    </row>
    <row r="28" spans="1:9" ht="18.75" x14ac:dyDescent="0.3">
      <c r="A28" s="1">
        <v>46175</v>
      </c>
      <c r="B28" s="2" t="s">
        <v>28</v>
      </c>
      <c r="C28" s="2">
        <v>4</v>
      </c>
      <c r="D28" s="2">
        <v>35</v>
      </c>
      <c r="E28" s="2">
        <f>Table13[[#This Row],[Quantity]]*Table13[[#This Row],[Price ]]</f>
        <v>140</v>
      </c>
      <c r="F28" s="3" t="str">
        <f>PROPER(Table13[[#This Row],[Product Name(RAW)]])</f>
        <v xml:space="preserve">6A Plug </v>
      </c>
      <c r="G28" s="3" t="str">
        <f>TEXT(Table13[[#This Row],[Date]],"dddd")</f>
        <v>Tuesday</v>
      </c>
      <c r="H28" s="3" t="str">
        <f t="shared" si="1"/>
        <v>Week 1</v>
      </c>
      <c r="I28" s="3" t="str">
        <f t="shared" si="0"/>
        <v>01-07</v>
      </c>
    </row>
    <row r="29" spans="1:9" ht="18.75" x14ac:dyDescent="0.3">
      <c r="A29" s="1">
        <v>46175</v>
      </c>
      <c r="B29" s="2" t="s">
        <v>22</v>
      </c>
      <c r="C29" s="2">
        <v>5</v>
      </c>
      <c r="D29" s="2">
        <v>20</v>
      </c>
      <c r="E29" s="2">
        <f>Table13[[#This Row],[Quantity]]*Table13[[#This Row],[Price ]]</f>
        <v>100</v>
      </c>
      <c r="F29" s="3" t="str">
        <f>PROPER(Table13[[#This Row],[Product Name(RAW)]])</f>
        <v xml:space="preserve">2 Core Wire </v>
      </c>
      <c r="G29" s="3" t="str">
        <f>TEXT(Table13[[#This Row],[Date]],"dddd")</f>
        <v>Tuesday</v>
      </c>
      <c r="H29" s="3" t="str">
        <f t="shared" si="1"/>
        <v>Week 1</v>
      </c>
      <c r="I29" s="3" t="str">
        <f t="shared" si="0"/>
        <v>01-07</v>
      </c>
    </row>
    <row r="30" spans="1:9" ht="18.75" x14ac:dyDescent="0.3">
      <c r="A30" s="1">
        <v>46175</v>
      </c>
      <c r="B30" s="2" t="s">
        <v>29</v>
      </c>
      <c r="C30" s="2">
        <v>1</v>
      </c>
      <c r="D30" s="2">
        <v>10</v>
      </c>
      <c r="E30" s="2">
        <f>Table13[[#This Row],[Quantity]]*Table13[[#This Row],[Price ]]</f>
        <v>10</v>
      </c>
      <c r="F30" s="3" t="str">
        <f>PROPER(Table13[[#This Row],[Product Name(RAW)]])</f>
        <v xml:space="preserve">2 Pin Top </v>
      </c>
      <c r="G30" s="3" t="str">
        <f>TEXT(Table13[[#This Row],[Date]],"dddd")</f>
        <v>Tuesday</v>
      </c>
      <c r="H30" s="3" t="str">
        <f t="shared" si="1"/>
        <v>Week 1</v>
      </c>
      <c r="I30" s="3" t="str">
        <f t="shared" si="0"/>
        <v>01-07</v>
      </c>
    </row>
    <row r="31" spans="1:9" ht="18.75" x14ac:dyDescent="0.3">
      <c r="A31" s="1">
        <v>46176</v>
      </c>
      <c r="B31" s="2" t="s">
        <v>14</v>
      </c>
      <c r="C31" s="2">
        <v>3</v>
      </c>
      <c r="D31" s="2">
        <v>40</v>
      </c>
      <c r="E31" s="2">
        <f>Table13[[#This Row],[Quantity]]*Table13[[#This Row],[Price ]]</f>
        <v>120</v>
      </c>
      <c r="F31" s="3" t="str">
        <f>PROPER(Table13[[#This Row],[Product Name(RAW)]])</f>
        <v>Visha L Coil</v>
      </c>
      <c r="G31" s="3" t="str">
        <f>TEXT(Table13[[#This Row],[Date]],"dddd")</f>
        <v>Wednesday</v>
      </c>
      <c r="H31" s="3" t="str">
        <f t="shared" si="1"/>
        <v>Week 1</v>
      </c>
      <c r="I31" s="3" t="str">
        <f t="shared" si="0"/>
        <v>01-07</v>
      </c>
    </row>
    <row r="32" spans="1:9" ht="18.75" x14ac:dyDescent="0.3">
      <c r="A32" s="1">
        <v>46176</v>
      </c>
      <c r="B32" s="2" t="s">
        <v>274</v>
      </c>
      <c r="C32" s="2">
        <v>2</v>
      </c>
      <c r="D32" s="2">
        <v>30</v>
      </c>
      <c r="E32" s="2">
        <f>Table13[[#This Row],[Quantity]]*Table13[[#This Row],[Price ]]</f>
        <v>60</v>
      </c>
      <c r="F32" s="3" t="str">
        <f>PROPER(Table13[[#This Row],[Product Name(RAW)]])</f>
        <v xml:space="preserve"> Shegdi Plate </v>
      </c>
      <c r="G32" s="3" t="str">
        <f>TEXT(Table13[[#This Row],[Date]],"dddd")</f>
        <v>Wednesday</v>
      </c>
      <c r="H32" s="3" t="str">
        <f t="shared" si="1"/>
        <v>Week 1</v>
      </c>
      <c r="I32" s="3" t="str">
        <f t="shared" si="0"/>
        <v>01-07</v>
      </c>
    </row>
    <row r="33" spans="1:9" ht="18.75" x14ac:dyDescent="0.3">
      <c r="A33" s="1">
        <v>46176</v>
      </c>
      <c r="B33" s="2" t="s">
        <v>30</v>
      </c>
      <c r="C33" s="2">
        <v>2</v>
      </c>
      <c r="D33" s="2">
        <v>15</v>
      </c>
      <c r="E33" s="2">
        <f>2*Table13[[#This Row],[Price ]]</f>
        <v>30</v>
      </c>
      <c r="F33" s="3" t="str">
        <f>PROPER(Table13[[#This Row],[Product Name(RAW)]])</f>
        <v xml:space="preserve">4 Mm Ss Wire </v>
      </c>
      <c r="G33" s="3" t="str">
        <f>TEXT(Table13[[#This Row],[Date]],"dddd")</f>
        <v>Wednesday</v>
      </c>
      <c r="H33" s="3" t="str">
        <f t="shared" si="1"/>
        <v>Week 1</v>
      </c>
      <c r="I33" s="3" t="str">
        <f t="shared" si="0"/>
        <v>01-07</v>
      </c>
    </row>
    <row r="34" spans="1:9" ht="18.75" x14ac:dyDescent="0.3">
      <c r="A34" s="1">
        <v>46176</v>
      </c>
      <c r="B34" s="2" t="s">
        <v>273</v>
      </c>
      <c r="C34" s="2">
        <v>1</v>
      </c>
      <c r="D34" s="2">
        <v>240</v>
      </c>
      <c r="E34" s="2">
        <f>Table13[[#This Row],[Quantity]]*Table13[[#This Row],[Price ]]</f>
        <v>240</v>
      </c>
      <c r="F34" s="3" t="str">
        <f>PROPER(Table13[[#This Row],[Product Name(RAW)]])</f>
        <v xml:space="preserve">Shegdi </v>
      </c>
      <c r="G34" s="3" t="str">
        <f>TEXT(Table13[[#This Row],[Date]],"dddd")</f>
        <v>Wednesday</v>
      </c>
      <c r="H34" s="3" t="str">
        <f t="shared" si="1"/>
        <v>Week 1</v>
      </c>
      <c r="I34" s="3" t="str">
        <f t="shared" si="0"/>
        <v>01-07</v>
      </c>
    </row>
    <row r="35" spans="1:9" ht="18.75" x14ac:dyDescent="0.3">
      <c r="A35" s="1">
        <v>46176</v>
      </c>
      <c r="B35" s="2" t="s">
        <v>66</v>
      </c>
      <c r="C35" s="2">
        <v>1</v>
      </c>
      <c r="D35" s="2">
        <v>350</v>
      </c>
      <c r="E35" s="2">
        <f>Table13[[#This Row],[Quantity]]*Table13[[#This Row],[Price ]]</f>
        <v>350</v>
      </c>
      <c r="F35" s="3" t="str">
        <f>PROPER(Table13[[#This Row],[Product Name(RAW)]])</f>
        <v xml:space="preserve">9W Charging Light  Ecolink </v>
      </c>
      <c r="G35" s="3" t="str">
        <f>TEXT(Table13[[#This Row],[Date]],"dddd")</f>
        <v>Wednesday</v>
      </c>
      <c r="H35" s="3" t="str">
        <f t="shared" si="1"/>
        <v>Week 1</v>
      </c>
      <c r="I35" s="3" t="str">
        <f t="shared" si="0"/>
        <v>01-07</v>
      </c>
    </row>
    <row r="36" spans="1:9" ht="18.75" x14ac:dyDescent="0.3">
      <c r="A36" s="1">
        <v>46176</v>
      </c>
      <c r="B36" s="2" t="s">
        <v>31</v>
      </c>
      <c r="C36" s="2">
        <v>10</v>
      </c>
      <c r="D36" s="2">
        <v>10</v>
      </c>
      <c r="E36" s="2">
        <f>Table13[[#This Row],[Quantity]]*Table13[[#This Row],[Price ]]</f>
        <v>100</v>
      </c>
      <c r="F36" s="3" t="str">
        <f>PROPER(Table13[[#This Row],[Product Name(RAW)]])</f>
        <v xml:space="preserve">Tep </v>
      </c>
      <c r="G36" s="3" t="str">
        <f>TEXT(Table13[[#This Row],[Date]],"dddd")</f>
        <v>Wednesday</v>
      </c>
      <c r="H36" s="3" t="str">
        <f t="shared" si="1"/>
        <v>Week 1</v>
      </c>
      <c r="I36" s="3" t="str">
        <f t="shared" si="0"/>
        <v>01-07</v>
      </c>
    </row>
    <row r="37" spans="1:9" ht="18.75" x14ac:dyDescent="0.3">
      <c r="A37" s="1">
        <v>46176</v>
      </c>
      <c r="B37" s="2" t="s">
        <v>32</v>
      </c>
      <c r="C37" s="2">
        <v>1</v>
      </c>
      <c r="D37" s="2">
        <v>270</v>
      </c>
      <c r="E37" s="2">
        <f>Table13[[#This Row],[Quantity]]*Table13[[#This Row],[Price ]]</f>
        <v>270</v>
      </c>
      <c r="F37" s="3" t="str">
        <f>PROPER(Table13[[#This Row],[Product Name(RAW)]])</f>
        <v xml:space="preserve">240 Led Ww </v>
      </c>
      <c r="G37" s="3" t="str">
        <f>TEXT(Table13[[#This Row],[Date]],"dddd")</f>
        <v>Wednesday</v>
      </c>
      <c r="H37" s="3" t="str">
        <f t="shared" si="1"/>
        <v>Week 1</v>
      </c>
      <c r="I37" s="3" t="str">
        <f t="shared" si="0"/>
        <v>01-07</v>
      </c>
    </row>
    <row r="38" spans="1:9" ht="18.75" x14ac:dyDescent="0.3">
      <c r="A38" s="1">
        <v>46176</v>
      </c>
      <c r="B38" s="2" t="s">
        <v>33</v>
      </c>
      <c r="C38" s="2">
        <v>1</v>
      </c>
      <c r="D38" s="2">
        <v>250</v>
      </c>
      <c r="E38" s="2">
        <f>Table13[[#This Row],[Quantity]]*Table13[[#This Row],[Price ]]</f>
        <v>250</v>
      </c>
      <c r="F38" s="3" t="str">
        <f>PROPER(Table13[[#This Row],[Product Name(RAW)]])</f>
        <v xml:space="preserve">5A Chok Metal </v>
      </c>
      <c r="G38" s="3" t="str">
        <f>TEXT(Table13[[#This Row],[Date]],"dddd")</f>
        <v>Wednesday</v>
      </c>
      <c r="H38" s="3" t="str">
        <f t="shared" si="1"/>
        <v>Week 1</v>
      </c>
      <c r="I38" s="3" t="str">
        <f t="shared" si="0"/>
        <v>01-07</v>
      </c>
    </row>
    <row r="39" spans="1:9" ht="18.75" x14ac:dyDescent="0.3">
      <c r="A39" s="1">
        <v>46176</v>
      </c>
      <c r="B39" s="2" t="s">
        <v>34</v>
      </c>
      <c r="C39" s="2">
        <v>2</v>
      </c>
      <c r="D39" s="2">
        <v>80</v>
      </c>
      <c r="E39" s="2">
        <f>Table13[[#This Row],[Quantity]]*Table13[[#This Row],[Price ]]</f>
        <v>160</v>
      </c>
      <c r="F39" s="3" t="str">
        <f>PROPER(Table13[[#This Row],[Product Name(RAW)]])</f>
        <v xml:space="preserve">3 W Sarface </v>
      </c>
      <c r="G39" s="3" t="str">
        <f>TEXT(Table13[[#This Row],[Date]],"dddd")</f>
        <v>Wednesday</v>
      </c>
      <c r="H39" s="3" t="str">
        <f t="shared" si="1"/>
        <v>Week 1</v>
      </c>
      <c r="I39" s="3" t="str">
        <f t="shared" si="0"/>
        <v>01-07</v>
      </c>
    </row>
    <row r="40" spans="1:9" ht="18.75" x14ac:dyDescent="0.3">
      <c r="A40" s="1">
        <v>46176</v>
      </c>
      <c r="B40" s="2" t="s">
        <v>35</v>
      </c>
      <c r="C40" s="2">
        <v>1</v>
      </c>
      <c r="D40" s="2">
        <v>30</v>
      </c>
      <c r="E40" s="2">
        <f>Table13[[#This Row],[Quantity]]*Table13[[#This Row],[Price ]]</f>
        <v>30</v>
      </c>
      <c r="F40" s="3" t="str">
        <f>PROPER(Table13[[#This Row],[Product Name(RAW)]])</f>
        <v xml:space="preserve">3.15 Capacitor </v>
      </c>
      <c r="G40" s="3" t="str">
        <f>TEXT(Table13[[#This Row],[Date]],"dddd")</f>
        <v>Wednesday</v>
      </c>
      <c r="H40" s="3" t="str">
        <f t="shared" si="1"/>
        <v>Week 1</v>
      </c>
      <c r="I40" s="3" t="str">
        <f t="shared" si="0"/>
        <v>01-07</v>
      </c>
    </row>
    <row r="41" spans="1:9" ht="18.75" x14ac:dyDescent="0.3">
      <c r="A41" s="1">
        <v>46176</v>
      </c>
      <c r="B41" s="2" t="s">
        <v>36</v>
      </c>
      <c r="C41" s="2">
        <v>6</v>
      </c>
      <c r="D41" s="2">
        <v>195</v>
      </c>
      <c r="E41" s="2">
        <f>Table13[[#This Row],[Quantity]]*Table13[[#This Row],[Price ]]</f>
        <v>1170</v>
      </c>
      <c r="F41" s="3" t="str">
        <f>PROPER(Table13[[#This Row],[Product Name(RAW)]])</f>
        <v xml:space="preserve">14 W Sarface Wh </v>
      </c>
      <c r="G41" s="3" t="str">
        <f>TEXT(Table13[[#This Row],[Date]],"dddd")</f>
        <v>Wednesday</v>
      </c>
      <c r="H41" s="3" t="str">
        <f t="shared" si="1"/>
        <v>Week 1</v>
      </c>
      <c r="I41" s="3" t="str">
        <f t="shared" si="0"/>
        <v>01-07</v>
      </c>
    </row>
    <row r="42" spans="1:9" ht="18.75" x14ac:dyDescent="0.3">
      <c r="A42" s="1">
        <v>46176</v>
      </c>
      <c r="B42" s="2" t="s">
        <v>37</v>
      </c>
      <c r="C42" s="2">
        <v>12</v>
      </c>
      <c r="D42" s="2">
        <v>250</v>
      </c>
      <c r="E42" s="2">
        <f>Table13[[#This Row],[Quantity]]*Table13[[#This Row],[Price ]]</f>
        <v>3000</v>
      </c>
      <c r="F42" s="3" t="str">
        <f>PROPER(Table13[[#This Row],[Product Name(RAW)]])</f>
        <v xml:space="preserve">14W Sarface 3 In 1 </v>
      </c>
      <c r="G42" s="3" t="str">
        <f>TEXT(Table13[[#This Row],[Date]],"dddd")</f>
        <v>Wednesday</v>
      </c>
      <c r="H42" s="3" t="str">
        <f t="shared" si="1"/>
        <v>Week 1</v>
      </c>
      <c r="I42" s="3" t="str">
        <f t="shared" si="0"/>
        <v>01-07</v>
      </c>
    </row>
    <row r="43" spans="1:9" ht="18.75" x14ac:dyDescent="0.3">
      <c r="A43" s="1">
        <v>46176</v>
      </c>
      <c r="B43" s="2" t="s">
        <v>38</v>
      </c>
      <c r="C43" s="2">
        <v>1</v>
      </c>
      <c r="D43" s="2">
        <v>130</v>
      </c>
      <c r="E43" s="2">
        <f>Table13[[#This Row],[Quantity]]*Table13[[#This Row],[Price ]]</f>
        <v>130</v>
      </c>
      <c r="F43" s="3" t="str">
        <f>PROPER(Table13[[#This Row],[Product Name(RAW)]])</f>
        <v xml:space="preserve">32A Sp Mcb Legrand </v>
      </c>
      <c r="G43" s="3" t="str">
        <f>TEXT(Table13[[#This Row],[Date]],"dddd")</f>
        <v>Wednesday</v>
      </c>
      <c r="H43" s="3" t="str">
        <f t="shared" si="1"/>
        <v>Week 1</v>
      </c>
      <c r="I43" s="3" t="str">
        <f t="shared" si="0"/>
        <v>01-07</v>
      </c>
    </row>
    <row r="44" spans="1:9" ht="18.75" x14ac:dyDescent="0.3">
      <c r="A44" s="1">
        <v>46177</v>
      </c>
      <c r="B44" s="2" t="s">
        <v>22</v>
      </c>
      <c r="C44" s="2">
        <v>3</v>
      </c>
      <c r="D44" s="2">
        <v>25</v>
      </c>
      <c r="E44" s="2">
        <f>Table13[[#This Row],[Quantity]]*Table13[[#This Row],[Price ]]</f>
        <v>75</v>
      </c>
      <c r="F44" s="3" t="str">
        <f>PROPER(Table13[[#This Row],[Product Name(RAW)]])</f>
        <v xml:space="preserve">2 Core Wire </v>
      </c>
      <c r="G44" s="3" t="str">
        <f>TEXT(Table13[[#This Row],[Date]],"dddd")</f>
        <v>Thursday</v>
      </c>
      <c r="H44" s="3" t="str">
        <f t="shared" si="1"/>
        <v>Week 1</v>
      </c>
      <c r="I44" s="3" t="str">
        <f t="shared" si="0"/>
        <v>01-07</v>
      </c>
    </row>
    <row r="45" spans="1:9" ht="18.75" x14ac:dyDescent="0.3">
      <c r="A45" s="1">
        <v>46177</v>
      </c>
      <c r="B45" s="2" t="s">
        <v>39</v>
      </c>
      <c r="C45" s="2">
        <v>1</v>
      </c>
      <c r="D45" s="2">
        <v>10</v>
      </c>
      <c r="E45" s="2">
        <f>Table13[[#This Row],[Quantity]]*Table13[[#This Row],[Price ]]</f>
        <v>10</v>
      </c>
      <c r="F45" s="3" t="str">
        <f>PROPER(Table13[[#This Row],[Product Name(RAW)]])</f>
        <v>2 Pin</v>
      </c>
      <c r="G45" s="3" t="str">
        <f>TEXT(Table13[[#This Row],[Date]],"dddd")</f>
        <v>Thursday</v>
      </c>
      <c r="H45" s="3" t="str">
        <f t="shared" si="1"/>
        <v>Week 1</v>
      </c>
      <c r="I45" s="3" t="str">
        <f t="shared" si="0"/>
        <v>01-07</v>
      </c>
    </row>
    <row r="46" spans="1:9" ht="18.75" x14ac:dyDescent="0.3">
      <c r="A46" s="1">
        <v>46177</v>
      </c>
      <c r="B46" s="2" t="s">
        <v>30</v>
      </c>
      <c r="C46" s="2">
        <v>17</v>
      </c>
      <c r="D46" s="2">
        <v>15</v>
      </c>
      <c r="E46" s="2">
        <f>Table13[[#This Row],[Quantity]]*Table13[[#This Row],[Price ]]</f>
        <v>255</v>
      </c>
      <c r="F46" s="3" t="str">
        <f>PROPER(Table13[[#This Row],[Product Name(RAW)]])</f>
        <v xml:space="preserve">4 Mm Ss Wire </v>
      </c>
      <c r="G46" s="3" t="str">
        <f>TEXT(Table13[[#This Row],[Date]],"dddd")</f>
        <v>Thursday</v>
      </c>
      <c r="H46" s="3" t="str">
        <f t="shared" si="1"/>
        <v>Week 1</v>
      </c>
      <c r="I46" s="3" t="str">
        <f t="shared" si="0"/>
        <v>01-07</v>
      </c>
    </row>
    <row r="47" spans="1:9" ht="18.75" x14ac:dyDescent="0.3">
      <c r="A47" s="1">
        <v>46177</v>
      </c>
      <c r="B47" s="2" t="s">
        <v>40</v>
      </c>
      <c r="C47" s="2">
        <v>1</v>
      </c>
      <c r="D47" s="2">
        <v>220</v>
      </c>
      <c r="E47" s="2">
        <f>Table13[[#This Row],[Quantity]]*Table13[[#This Row],[Price ]]</f>
        <v>220</v>
      </c>
      <c r="F47" s="3" t="str">
        <f>PROPER(Table13[[#This Row],[Product Name(RAW)]])</f>
        <v xml:space="preserve">Cona Power Box </v>
      </c>
      <c r="G47" s="3" t="str">
        <f>TEXT(Table13[[#This Row],[Date]],"dddd")</f>
        <v>Thursday</v>
      </c>
      <c r="H47" s="3" t="str">
        <f t="shared" si="1"/>
        <v>Week 1</v>
      </c>
      <c r="I47" s="3" t="str">
        <f t="shared" si="0"/>
        <v>01-07</v>
      </c>
    </row>
    <row r="48" spans="1:9" ht="18.75" x14ac:dyDescent="0.3">
      <c r="A48" s="1">
        <v>46177</v>
      </c>
      <c r="B48" s="2" t="s">
        <v>41</v>
      </c>
      <c r="C48" s="2">
        <v>36</v>
      </c>
      <c r="D48" s="2">
        <v>0.8</v>
      </c>
      <c r="E48" s="2">
        <f>Table13[[#This Row],[Quantity]]*Table13[[#This Row],[Price ]]</f>
        <v>28.8</v>
      </c>
      <c r="F48" s="3" t="str">
        <f>PROPER(Table13[[#This Row],[Product Name(RAW)]])</f>
        <v xml:space="preserve">12 Mm C Clip </v>
      </c>
      <c r="G48" s="3" t="str">
        <f>TEXT(Table13[[#This Row],[Date]],"dddd")</f>
        <v>Thursday</v>
      </c>
      <c r="H48" s="3" t="str">
        <f t="shared" si="1"/>
        <v>Week 1</v>
      </c>
      <c r="I48" s="3" t="str">
        <f t="shared" si="0"/>
        <v>01-07</v>
      </c>
    </row>
    <row r="49" spans="1:9" ht="18.75" x14ac:dyDescent="0.3">
      <c r="A49" s="1">
        <v>46177</v>
      </c>
      <c r="B49" s="2" t="s">
        <v>31</v>
      </c>
      <c r="C49" s="2">
        <v>1</v>
      </c>
      <c r="D49" s="2">
        <v>10</v>
      </c>
      <c r="E49" s="2">
        <f>Table13[[#This Row],[Quantity]]*Table13[[#This Row],[Price ]]</f>
        <v>10</v>
      </c>
      <c r="F49" s="3" t="str">
        <f>PROPER(Table13[[#This Row],[Product Name(RAW)]])</f>
        <v xml:space="preserve">Tep </v>
      </c>
      <c r="G49" s="3" t="str">
        <f>TEXT(Table13[[#This Row],[Date]],"dddd")</f>
        <v>Thursday</v>
      </c>
      <c r="H49" s="3" t="str">
        <f t="shared" si="1"/>
        <v>Week 1</v>
      </c>
      <c r="I49" s="3" t="str">
        <f t="shared" si="0"/>
        <v>01-07</v>
      </c>
    </row>
    <row r="50" spans="1:9" ht="18.75" x14ac:dyDescent="0.3">
      <c r="A50" s="1">
        <v>46177</v>
      </c>
      <c r="B50" s="2" t="s">
        <v>65</v>
      </c>
      <c r="C50" s="2">
        <v>1</v>
      </c>
      <c r="D50" s="2">
        <v>135</v>
      </c>
      <c r="E50" s="2">
        <f>Table13[[#This Row],[Quantity]]*Table13[[#This Row],[Price ]]</f>
        <v>135</v>
      </c>
      <c r="F50" s="3" t="str">
        <f>PROPER(Table13[[#This Row],[Product Name(RAW)]])</f>
        <v xml:space="preserve"> 12M Plate Jiva </v>
      </c>
      <c r="G50" s="3" t="str">
        <f>TEXT(Table13[[#This Row],[Date]],"dddd")</f>
        <v>Thursday</v>
      </c>
      <c r="H50" s="3" t="str">
        <f t="shared" si="1"/>
        <v>Week 1</v>
      </c>
      <c r="I50" s="3" t="str">
        <f t="shared" si="0"/>
        <v>01-07</v>
      </c>
    </row>
    <row r="51" spans="1:9" ht="18.75" x14ac:dyDescent="0.3">
      <c r="A51" s="1">
        <v>46177</v>
      </c>
      <c r="B51" s="2" t="s">
        <v>42</v>
      </c>
      <c r="C51" s="2">
        <v>1</v>
      </c>
      <c r="D51" s="2">
        <v>83</v>
      </c>
      <c r="E51" s="2">
        <f>Table13[[#This Row],[Quantity]]*Table13[[#This Row],[Price ]]</f>
        <v>83</v>
      </c>
      <c r="F51" s="3" t="str">
        <f>PROPER(Table13[[#This Row],[Product Name(RAW)]])</f>
        <v xml:space="preserve">6M Platee </v>
      </c>
      <c r="G51" s="3" t="str">
        <f>TEXT(Table13[[#This Row],[Date]],"dddd")</f>
        <v>Thursday</v>
      </c>
      <c r="H51" s="3" t="str">
        <f t="shared" si="1"/>
        <v>Week 1</v>
      </c>
      <c r="I51" s="3" t="str">
        <f t="shared" si="0"/>
        <v>01-07</v>
      </c>
    </row>
    <row r="52" spans="1:9" ht="18.75" x14ac:dyDescent="0.3">
      <c r="A52" s="1">
        <v>46177</v>
      </c>
      <c r="B52" s="2" t="s">
        <v>64</v>
      </c>
      <c r="C52" s="2">
        <v>2</v>
      </c>
      <c r="D52" s="2">
        <v>58</v>
      </c>
      <c r="E52" s="2">
        <f>Table13[[#This Row],[Quantity]]*Table13[[#This Row],[Price ]]</f>
        <v>116</v>
      </c>
      <c r="F52" s="3" t="str">
        <f>PROPER(Table13[[#This Row],[Product Name(RAW)]])</f>
        <v>4M Plate Jiva</v>
      </c>
      <c r="G52" s="3" t="str">
        <f>TEXT(Table13[[#This Row],[Date]],"dddd")</f>
        <v>Thursday</v>
      </c>
      <c r="H52" s="3" t="str">
        <f t="shared" si="1"/>
        <v>Week 1</v>
      </c>
      <c r="I52" s="3" t="str">
        <f t="shared" si="0"/>
        <v>01-07</v>
      </c>
    </row>
    <row r="53" spans="1:9" ht="18.75" x14ac:dyDescent="0.3">
      <c r="A53" s="1">
        <v>46177</v>
      </c>
      <c r="B53" s="2" t="s">
        <v>43</v>
      </c>
      <c r="C53" s="2">
        <v>3</v>
      </c>
      <c r="D53" s="2">
        <v>7</v>
      </c>
      <c r="E53" s="2">
        <f>Table13[[#This Row],[Quantity]]*Table13[[#This Row],[Price ]]</f>
        <v>21</v>
      </c>
      <c r="F53" s="3" t="str">
        <f>PROPER(Table13[[#This Row],[Product Name(RAW)]])</f>
        <v xml:space="preserve">4 '' Round Plate </v>
      </c>
      <c r="G53" s="3" t="str">
        <f>TEXT(Table13[[#This Row],[Date]],"dddd")</f>
        <v>Thursday</v>
      </c>
      <c r="H53" s="3" t="str">
        <f t="shared" si="1"/>
        <v>Week 1</v>
      </c>
      <c r="I53" s="3" t="str">
        <f t="shared" si="0"/>
        <v>01-07</v>
      </c>
    </row>
    <row r="54" spans="1:9" ht="18.75" x14ac:dyDescent="0.3">
      <c r="A54" s="1">
        <v>46177</v>
      </c>
      <c r="B54" s="2" t="s">
        <v>267</v>
      </c>
      <c r="C54" s="2">
        <v>16</v>
      </c>
      <c r="D54" s="2">
        <v>13</v>
      </c>
      <c r="E54" s="2">
        <f>Table13[[#This Row],[Quantity]]*Table13[[#This Row],[Price ]]</f>
        <v>208</v>
      </c>
      <c r="F54" s="3" t="str">
        <f>PROPER(Table13[[#This Row],[Product Name(RAW)]])</f>
        <v xml:space="preserve">6A Switch Jiva </v>
      </c>
      <c r="G54" s="3" t="str">
        <f>TEXT(Table13[[#This Row],[Date]],"dddd")</f>
        <v>Thursday</v>
      </c>
      <c r="H54" s="3" t="str">
        <f t="shared" si="1"/>
        <v>Week 1</v>
      </c>
      <c r="I54" s="3" t="str">
        <f t="shared" si="0"/>
        <v>01-07</v>
      </c>
    </row>
    <row r="55" spans="1:9" ht="18.75" x14ac:dyDescent="0.3">
      <c r="A55" s="1">
        <v>46177</v>
      </c>
      <c r="B55" s="2" t="s">
        <v>63</v>
      </c>
      <c r="C55" s="2">
        <v>6</v>
      </c>
      <c r="D55" s="2">
        <v>35</v>
      </c>
      <c r="E55" s="2">
        <f>Table13[[#This Row],[Quantity]]*Table13[[#This Row],[Price ]]</f>
        <v>210</v>
      </c>
      <c r="F55" s="3" t="str">
        <f>PROPER(Table13[[#This Row],[Product Name(RAW)]])</f>
        <v xml:space="preserve">6A Plug Jiva </v>
      </c>
      <c r="G55" s="3" t="str">
        <f>TEXT(Table13[[#This Row],[Date]],"dddd")</f>
        <v>Thursday</v>
      </c>
      <c r="H55" s="3" t="str">
        <f t="shared" si="1"/>
        <v>Week 1</v>
      </c>
      <c r="I55" s="3" t="str">
        <f t="shared" si="0"/>
        <v>01-07</v>
      </c>
    </row>
    <row r="56" spans="1:9" ht="18.75" x14ac:dyDescent="0.3">
      <c r="A56" s="1">
        <v>46177</v>
      </c>
      <c r="B56" s="2" t="s">
        <v>268</v>
      </c>
      <c r="C56" s="2">
        <v>3</v>
      </c>
      <c r="D56" s="2">
        <v>46</v>
      </c>
      <c r="E56" s="2">
        <f>Table13[[#This Row],[Quantity]]*Table13[[#This Row],[Price ]]</f>
        <v>138</v>
      </c>
      <c r="F56" s="3" t="str">
        <f>PROPER(Table13[[#This Row],[Product Name(RAW)]])</f>
        <v xml:space="preserve">16A Switch Jiva </v>
      </c>
      <c r="G56" s="3" t="str">
        <f>TEXT(Table13[[#This Row],[Date]],"dddd")</f>
        <v>Thursday</v>
      </c>
      <c r="H56" s="3" t="str">
        <f t="shared" si="1"/>
        <v>Week 1</v>
      </c>
      <c r="I56" s="3" t="str">
        <f t="shared" si="0"/>
        <v>01-07</v>
      </c>
    </row>
    <row r="57" spans="1:9" ht="18.75" x14ac:dyDescent="0.3">
      <c r="A57" s="1">
        <v>46177</v>
      </c>
      <c r="B57" s="2" t="s">
        <v>62</v>
      </c>
      <c r="C57" s="2">
        <v>3</v>
      </c>
      <c r="D57" s="2">
        <v>75</v>
      </c>
      <c r="E57" s="2">
        <f>Table13[[#This Row],[Quantity]]*Table13[[#This Row],[Price ]]</f>
        <v>225</v>
      </c>
      <c r="F57" s="3" t="str">
        <f>PROPER(Table13[[#This Row],[Product Name(RAW)]])</f>
        <v xml:space="preserve">16A Plug Jiva </v>
      </c>
      <c r="G57" s="3" t="str">
        <f>TEXT(Table13[[#This Row],[Date]],"dddd")</f>
        <v>Thursday</v>
      </c>
      <c r="H57" s="3" t="str">
        <f t="shared" si="1"/>
        <v>Week 1</v>
      </c>
      <c r="I57" s="3" t="str">
        <f t="shared" si="0"/>
        <v>01-07</v>
      </c>
    </row>
    <row r="58" spans="1:9" ht="18.75" x14ac:dyDescent="0.3">
      <c r="A58" s="1">
        <v>46177</v>
      </c>
      <c r="B58" s="2" t="s">
        <v>61</v>
      </c>
      <c r="C58" s="2">
        <v>2</v>
      </c>
      <c r="D58" s="2">
        <v>180</v>
      </c>
      <c r="E58" s="2">
        <f>Table13[[#This Row],[Quantity]]*Table13[[#This Row],[Price ]]</f>
        <v>360</v>
      </c>
      <c r="F58" s="3" t="str">
        <f>PROPER(Table13[[#This Row],[Product Name(RAW)]])</f>
        <v xml:space="preserve">2M Regulator Jiva </v>
      </c>
      <c r="G58" s="3" t="str">
        <f>TEXT(Table13[[#This Row],[Date]],"dddd")</f>
        <v>Thursday</v>
      </c>
      <c r="H58" s="3" t="str">
        <f t="shared" si="1"/>
        <v>Week 1</v>
      </c>
      <c r="I58" s="3" t="str">
        <f t="shared" si="0"/>
        <v>01-07</v>
      </c>
    </row>
    <row r="59" spans="1:9" ht="18.75" x14ac:dyDescent="0.3">
      <c r="A59" s="1">
        <v>46177</v>
      </c>
      <c r="B59" s="2" t="s">
        <v>60</v>
      </c>
      <c r="C59" s="2">
        <v>2</v>
      </c>
      <c r="D59" s="2">
        <v>40</v>
      </c>
      <c r="E59" s="2">
        <f>Table13[[#This Row],[Quantity]]*Table13[[#This Row],[Price ]]</f>
        <v>80</v>
      </c>
      <c r="F59" s="3" t="str">
        <f>PROPER(Table13[[#This Row],[Product Name(RAW)]])</f>
        <v>Indicator Jiva</v>
      </c>
      <c r="G59" s="3" t="str">
        <f>TEXT(Table13[[#This Row],[Date]],"dddd")</f>
        <v>Thursday</v>
      </c>
      <c r="H59" s="3" t="str">
        <f t="shared" si="1"/>
        <v>Week 1</v>
      </c>
      <c r="I59" s="3" t="str">
        <f t="shared" si="0"/>
        <v>01-07</v>
      </c>
    </row>
    <row r="60" spans="1:9" ht="18.75" x14ac:dyDescent="0.3">
      <c r="A60" s="1">
        <v>46177</v>
      </c>
      <c r="B60" s="2" t="s">
        <v>44</v>
      </c>
      <c r="C60" s="2">
        <v>2</v>
      </c>
      <c r="D60" s="2">
        <v>40</v>
      </c>
      <c r="E60" s="2">
        <f>Table13[[#This Row],[Quantity]]*Table13[[#This Row],[Price ]]</f>
        <v>80</v>
      </c>
      <c r="F60" s="3" t="str">
        <f>PROPER(Table13[[#This Row],[Product Name(RAW)]])</f>
        <v xml:space="preserve">Kessing Patti </v>
      </c>
      <c r="G60" s="3" t="str">
        <f>TEXT(Table13[[#This Row],[Date]],"dddd")</f>
        <v>Thursday</v>
      </c>
      <c r="H60" s="3" t="str">
        <f t="shared" si="1"/>
        <v>Week 1</v>
      </c>
      <c r="I60" s="3" t="str">
        <f t="shared" si="0"/>
        <v>01-07</v>
      </c>
    </row>
    <row r="61" spans="1:9" ht="18.75" x14ac:dyDescent="0.3">
      <c r="A61" s="1">
        <v>46177</v>
      </c>
      <c r="B61" s="2" t="s">
        <v>45</v>
      </c>
      <c r="C61" s="2">
        <v>2</v>
      </c>
      <c r="D61" s="2">
        <v>15</v>
      </c>
      <c r="E61" s="2">
        <f>Table13[[#This Row],[Quantity]]*Table13[[#This Row],[Price ]]</f>
        <v>30</v>
      </c>
      <c r="F61" s="3" t="str">
        <f>PROPER(Table13[[#This Row],[Product Name(RAW)]])</f>
        <v xml:space="preserve">35/8 Sru </v>
      </c>
      <c r="G61" s="3" t="str">
        <f>TEXT(Table13[[#This Row],[Date]],"dddd")</f>
        <v>Thursday</v>
      </c>
      <c r="H61" s="3" t="str">
        <f t="shared" si="1"/>
        <v>Week 1</v>
      </c>
      <c r="I61" s="3" t="str">
        <f t="shared" si="0"/>
        <v>01-07</v>
      </c>
    </row>
    <row r="62" spans="1:9" ht="18.75" x14ac:dyDescent="0.3">
      <c r="A62" s="1">
        <v>46177</v>
      </c>
      <c r="B62" s="2" t="s">
        <v>46</v>
      </c>
      <c r="C62" s="2">
        <v>1</v>
      </c>
      <c r="D62" s="2">
        <v>10</v>
      </c>
      <c r="E62" s="2">
        <f>Table13[[#This Row],[Quantity]]*Table13[[#This Row],[Price ]]</f>
        <v>10</v>
      </c>
      <c r="F62" s="3" t="str">
        <f>PROPER(Table13[[#This Row],[Product Name(RAW)]])</f>
        <v xml:space="preserve">Grip </v>
      </c>
      <c r="G62" s="3" t="str">
        <f>TEXT(Table13[[#This Row],[Date]],"dddd")</f>
        <v>Thursday</v>
      </c>
      <c r="H62" s="3" t="str">
        <f t="shared" si="1"/>
        <v>Week 1</v>
      </c>
      <c r="I62" s="3" t="str">
        <f t="shared" si="0"/>
        <v>01-07</v>
      </c>
    </row>
    <row r="63" spans="1:9" ht="18.75" x14ac:dyDescent="0.3">
      <c r="A63" s="1">
        <v>46177</v>
      </c>
      <c r="B63" s="2" t="s">
        <v>59</v>
      </c>
      <c r="C63" s="2">
        <v>1</v>
      </c>
      <c r="D63" s="2">
        <v>160</v>
      </c>
      <c r="E63" s="2">
        <f>Table13[[#This Row],[Quantity]]*Table13[[#This Row],[Price ]]</f>
        <v>160</v>
      </c>
      <c r="F63" s="3" t="str">
        <f>PROPER(Table13[[#This Row],[Product Name(RAW)]])</f>
        <v xml:space="preserve">18M Plate Jiva </v>
      </c>
      <c r="G63" s="3" t="str">
        <f>TEXT(Table13[[#This Row],[Date]],"dddd")</f>
        <v>Thursday</v>
      </c>
      <c r="H63" s="3" t="str">
        <f t="shared" si="1"/>
        <v>Week 1</v>
      </c>
      <c r="I63" s="3" t="str">
        <f t="shared" si="0"/>
        <v>01-07</v>
      </c>
    </row>
    <row r="64" spans="1:9" ht="18.75" x14ac:dyDescent="0.3">
      <c r="A64" s="1">
        <v>46177</v>
      </c>
      <c r="B64" s="2" t="s">
        <v>47</v>
      </c>
      <c r="C64" s="2">
        <v>1</v>
      </c>
      <c r="D64" s="2">
        <v>100</v>
      </c>
      <c r="E64" s="2">
        <f>Table13[[#This Row],[Quantity]]*Table13[[#This Row],[Price ]]</f>
        <v>100</v>
      </c>
      <c r="F64" s="3" t="str">
        <f>PROPER(Table13[[#This Row],[Product Name(RAW)]])</f>
        <v xml:space="preserve">18M Sarface Box </v>
      </c>
      <c r="G64" s="3" t="str">
        <f>TEXT(Table13[[#This Row],[Date]],"dddd")</f>
        <v>Thursday</v>
      </c>
      <c r="H64" s="3" t="str">
        <f t="shared" si="1"/>
        <v>Week 1</v>
      </c>
      <c r="I64" s="3" t="str">
        <f t="shared" si="0"/>
        <v>01-07</v>
      </c>
    </row>
    <row r="65" spans="1:9" ht="18.75" x14ac:dyDescent="0.3">
      <c r="A65" s="1">
        <v>46177</v>
      </c>
      <c r="B65" s="2" t="s">
        <v>48</v>
      </c>
      <c r="C65" s="2">
        <v>1</v>
      </c>
      <c r="D65" s="2">
        <v>190</v>
      </c>
      <c r="E65" s="2">
        <f>Table13[[#This Row],[Quantity]]*Table13[[#This Row],[Price ]]</f>
        <v>190</v>
      </c>
      <c r="F65" s="3" t="str">
        <f>PROPER(Table13[[#This Row],[Product Name(RAW)]])</f>
        <v xml:space="preserve">16A Jiva Mini Mcb </v>
      </c>
      <c r="G65" s="3" t="str">
        <f>TEXT(Table13[[#This Row],[Date]],"dddd")</f>
        <v>Thursday</v>
      </c>
      <c r="H65" s="3" t="str">
        <f t="shared" si="1"/>
        <v>Week 1</v>
      </c>
      <c r="I65" s="3" t="str">
        <f t="shared" si="0"/>
        <v>01-07</v>
      </c>
    </row>
    <row r="66" spans="1:9" ht="18.75" x14ac:dyDescent="0.3">
      <c r="A66" s="1">
        <v>46177</v>
      </c>
      <c r="B66" s="2" t="s">
        <v>31</v>
      </c>
      <c r="C66" s="2">
        <v>1</v>
      </c>
      <c r="D66" s="2">
        <v>10</v>
      </c>
      <c r="E66" s="2">
        <f>Table13[[#This Row],[Quantity]]*Table13[[#This Row],[Price ]]</f>
        <v>10</v>
      </c>
      <c r="F66" s="3" t="str">
        <f>PROPER(Table13[[#This Row],[Product Name(RAW)]])</f>
        <v xml:space="preserve">Tep </v>
      </c>
      <c r="G66" s="3" t="str">
        <f>TEXT(Table13[[#This Row],[Date]],"dddd")</f>
        <v>Thursday</v>
      </c>
      <c r="H66" s="3" t="str">
        <f t="shared" ref="H66:H129" si="2">"Week "&amp;ROUNDUP(DAY(A66)/7,0)</f>
        <v>Week 1</v>
      </c>
      <c r="I66" s="3" t="str">
        <f t="shared" ref="I66:I129" si="3">IF(DAY(A66)&lt;=7,"01-07",
IF(DAY(A66)&lt;=14,"08-14",
IF(DAY(A66)&lt;=21,"15-21",
IF(DAY(A66)&lt;=28,"22-28","29-30"))))</f>
        <v>01-07</v>
      </c>
    </row>
    <row r="67" spans="1:9" ht="18.75" x14ac:dyDescent="0.3">
      <c r="A67" s="1">
        <v>46177</v>
      </c>
      <c r="B67" s="2" t="s">
        <v>49</v>
      </c>
      <c r="C67" s="2">
        <v>1</v>
      </c>
      <c r="D67" s="2">
        <v>50</v>
      </c>
      <c r="E67" s="2">
        <f>Table13[[#This Row],[Quantity]]*Table13[[#This Row],[Price ]]</f>
        <v>50</v>
      </c>
      <c r="F67" s="3" t="str">
        <f>PROPER(Table13[[#This Row],[Product Name(RAW)]])</f>
        <v xml:space="preserve">4M Sarface Box </v>
      </c>
      <c r="G67" s="3" t="str">
        <f>TEXT(Table13[[#This Row],[Date]],"dddd")</f>
        <v>Thursday</v>
      </c>
      <c r="H67" s="3" t="str">
        <f t="shared" si="2"/>
        <v>Week 1</v>
      </c>
      <c r="I67" s="3" t="str">
        <f t="shared" si="3"/>
        <v>01-07</v>
      </c>
    </row>
    <row r="68" spans="1:9" ht="18.75" x14ac:dyDescent="0.3">
      <c r="A68" s="1">
        <v>46177</v>
      </c>
      <c r="B68" s="2" t="s">
        <v>50</v>
      </c>
      <c r="C68" s="2">
        <v>36</v>
      </c>
      <c r="D68" s="2">
        <v>40</v>
      </c>
      <c r="E68" s="2">
        <f>Table13[[#This Row],[Quantity]]*Table13[[#This Row],[Price ]]</f>
        <v>1440</v>
      </c>
      <c r="F68" s="3" t="str">
        <f>PROPER(Table13[[#This Row],[Product Name(RAW)]])</f>
        <v xml:space="preserve">2.5 Mm Rr Cable </v>
      </c>
      <c r="G68" s="3" t="str">
        <f>TEXT(Table13[[#This Row],[Date]],"dddd")</f>
        <v>Thursday</v>
      </c>
      <c r="H68" s="3" t="str">
        <f t="shared" si="2"/>
        <v>Week 1</v>
      </c>
      <c r="I68" s="3" t="str">
        <f t="shared" si="3"/>
        <v>01-07</v>
      </c>
    </row>
    <row r="69" spans="1:9" ht="18.75" x14ac:dyDescent="0.3">
      <c r="A69" s="1">
        <v>46177</v>
      </c>
      <c r="B69" s="2" t="s">
        <v>51</v>
      </c>
      <c r="C69" s="2">
        <v>7</v>
      </c>
      <c r="D69" s="2">
        <v>28</v>
      </c>
      <c r="E69" s="2">
        <f>Table13[[#This Row],[Quantity]]*Table13[[#This Row],[Price ]]</f>
        <v>196</v>
      </c>
      <c r="F69" s="3" t="str">
        <f>PROPER(Table13[[#This Row],[Product Name(RAW)]])</f>
        <v xml:space="preserve">1.5 Mm Rr Cable </v>
      </c>
      <c r="G69" s="3" t="str">
        <f>TEXT(Table13[[#This Row],[Date]],"dddd")</f>
        <v>Thursday</v>
      </c>
      <c r="H69" s="3" t="str">
        <f t="shared" si="2"/>
        <v>Week 1</v>
      </c>
      <c r="I69" s="3" t="str">
        <f t="shared" si="3"/>
        <v>01-07</v>
      </c>
    </row>
    <row r="70" spans="1:9" ht="18.75" x14ac:dyDescent="0.3">
      <c r="A70" s="1">
        <v>46177</v>
      </c>
      <c r="B70" s="2" t="s">
        <v>52</v>
      </c>
      <c r="C70" s="2">
        <v>4</v>
      </c>
      <c r="D70" s="2">
        <v>30</v>
      </c>
      <c r="E70" s="2">
        <f>Table13[[#This Row],[Quantity]]*Table13[[#This Row],[Price ]]</f>
        <v>120</v>
      </c>
      <c r="F70" s="3" t="str">
        <f>PROPER(Table13[[#This Row],[Product Name(RAW)]])</f>
        <v xml:space="preserve">A Holder </v>
      </c>
      <c r="G70" s="3" t="str">
        <f>TEXT(Table13[[#This Row],[Date]],"dddd")</f>
        <v>Thursday</v>
      </c>
      <c r="H70" s="3" t="str">
        <f t="shared" si="2"/>
        <v>Week 1</v>
      </c>
      <c r="I70" s="3" t="str">
        <f t="shared" si="3"/>
        <v>01-07</v>
      </c>
    </row>
    <row r="71" spans="1:9" ht="18.75" x14ac:dyDescent="0.3">
      <c r="A71" s="1">
        <v>46177</v>
      </c>
      <c r="B71" s="2" t="s">
        <v>53</v>
      </c>
      <c r="C71" s="2">
        <v>1</v>
      </c>
      <c r="D71" s="2">
        <v>10</v>
      </c>
      <c r="E71" s="2">
        <f>Table13[[#This Row],[Quantity]]*Table13[[#This Row],[Price ]]</f>
        <v>10</v>
      </c>
      <c r="F71" s="3" t="str">
        <f>PROPER(Table13[[#This Row],[Product Name(RAW)]])</f>
        <v xml:space="preserve">2 Way K Junction </v>
      </c>
      <c r="G71" s="3" t="str">
        <f>TEXT(Table13[[#This Row],[Date]],"dddd")</f>
        <v>Thursday</v>
      </c>
      <c r="H71" s="3" t="str">
        <f t="shared" si="2"/>
        <v>Week 1</v>
      </c>
      <c r="I71" s="3" t="str">
        <f t="shared" si="3"/>
        <v>01-07</v>
      </c>
    </row>
    <row r="72" spans="1:9" ht="18.75" x14ac:dyDescent="0.3">
      <c r="A72" s="1">
        <v>46177</v>
      </c>
      <c r="B72" s="2" t="s">
        <v>54</v>
      </c>
      <c r="C72" s="2">
        <v>1</v>
      </c>
      <c r="D72" s="2">
        <v>298</v>
      </c>
      <c r="E72" s="2">
        <f>Table13[[#This Row],[Quantity]]*Table13[[#This Row],[Price ]]</f>
        <v>298</v>
      </c>
      <c r="F72" s="3" t="str">
        <f>PROPER(Table13[[#This Row],[Product Name(RAW)]])</f>
        <v xml:space="preserve">12+4 Panel </v>
      </c>
      <c r="G72" s="3" t="str">
        <f>TEXT(Table13[[#This Row],[Date]],"dddd")</f>
        <v>Thursday</v>
      </c>
      <c r="H72" s="3" t="str">
        <f t="shared" si="2"/>
        <v>Week 1</v>
      </c>
      <c r="I72" s="3" t="str">
        <f t="shared" si="3"/>
        <v>01-07</v>
      </c>
    </row>
    <row r="73" spans="1:9" ht="18.75" x14ac:dyDescent="0.3">
      <c r="A73" s="1">
        <v>46177</v>
      </c>
      <c r="B73" s="2" t="s">
        <v>55</v>
      </c>
      <c r="C73" s="2">
        <v>16</v>
      </c>
      <c r="D73" s="2">
        <v>55</v>
      </c>
      <c r="E73" s="2">
        <f>Table13[[#This Row],[Quantity]]*Table13[[#This Row],[Price ]]</f>
        <v>880</v>
      </c>
      <c r="F73" s="3" t="str">
        <f>PROPER(Table13[[#This Row],[Product Name(RAW)]])</f>
        <v xml:space="preserve">3W Junction Light </v>
      </c>
      <c r="G73" s="3" t="str">
        <f>TEXT(Table13[[#This Row],[Date]],"dddd")</f>
        <v>Thursday</v>
      </c>
      <c r="H73" s="3" t="str">
        <f t="shared" si="2"/>
        <v>Week 1</v>
      </c>
      <c r="I73" s="3" t="str">
        <f t="shared" si="3"/>
        <v>01-07</v>
      </c>
    </row>
    <row r="74" spans="1:9" ht="18.75" x14ac:dyDescent="0.3">
      <c r="A74" s="1">
        <v>46177</v>
      </c>
      <c r="B74" s="2" t="s">
        <v>31</v>
      </c>
      <c r="C74" s="2">
        <v>2</v>
      </c>
      <c r="D74" s="2">
        <v>10</v>
      </c>
      <c r="E74" s="2">
        <f>Table13[[#This Row],[Quantity]]*Table13[[#This Row],[Price ]]</f>
        <v>20</v>
      </c>
      <c r="F74" s="3" t="str">
        <f>PROPER(Table13[[#This Row],[Product Name(RAW)]])</f>
        <v xml:space="preserve">Tep </v>
      </c>
      <c r="G74" s="3" t="str">
        <f>TEXT(Table13[[#This Row],[Date]],"dddd")</f>
        <v>Thursday</v>
      </c>
      <c r="H74" s="3" t="str">
        <f t="shared" si="2"/>
        <v>Week 1</v>
      </c>
      <c r="I74" s="3" t="str">
        <f t="shared" si="3"/>
        <v>01-07</v>
      </c>
    </row>
    <row r="75" spans="1:9" ht="18.75" x14ac:dyDescent="0.3">
      <c r="A75" s="1">
        <v>46177</v>
      </c>
      <c r="B75" s="2" t="s">
        <v>31</v>
      </c>
      <c r="C75" s="2">
        <v>1</v>
      </c>
      <c r="D75" s="2">
        <v>280</v>
      </c>
      <c r="E75" s="2">
        <f>Table13[[#This Row],[Quantity]]*Table13[[#This Row],[Price ]]</f>
        <v>280</v>
      </c>
      <c r="F75" s="3" t="str">
        <f>PROPER(Table13[[#This Row],[Product Name(RAW)]])</f>
        <v xml:space="preserve">Tep </v>
      </c>
      <c r="G75" s="3" t="str">
        <f>TEXT(Table13[[#This Row],[Date]],"dddd")</f>
        <v>Thursday</v>
      </c>
      <c r="H75" s="3" t="str">
        <f t="shared" si="2"/>
        <v>Week 1</v>
      </c>
      <c r="I75" s="3" t="str">
        <f t="shared" si="3"/>
        <v>01-07</v>
      </c>
    </row>
    <row r="76" spans="1:9" ht="18.75" x14ac:dyDescent="0.3">
      <c r="A76" s="1">
        <v>46177</v>
      </c>
      <c r="B76" s="2" t="s">
        <v>56</v>
      </c>
      <c r="C76" s="2">
        <v>1</v>
      </c>
      <c r="D76" s="2">
        <v>160</v>
      </c>
      <c r="E76" s="2">
        <f>Table13[[#This Row],[Quantity]]*Table13[[#This Row],[Price ]]</f>
        <v>160</v>
      </c>
      <c r="F76" s="3" t="str">
        <f>PROPER(Table13[[#This Row],[Product Name(RAW)]])</f>
        <v xml:space="preserve">18 M Plate Jiva </v>
      </c>
      <c r="G76" s="3" t="str">
        <f>TEXT(Table13[[#This Row],[Date]],"dddd")</f>
        <v>Thursday</v>
      </c>
      <c r="H76" s="3" t="str">
        <f t="shared" si="2"/>
        <v>Week 1</v>
      </c>
      <c r="I76" s="3" t="str">
        <f t="shared" si="3"/>
        <v>01-07</v>
      </c>
    </row>
    <row r="77" spans="1:9" ht="18.75" x14ac:dyDescent="0.3">
      <c r="A77" s="1">
        <v>46177</v>
      </c>
      <c r="B77" s="2" t="s">
        <v>47</v>
      </c>
      <c r="C77" s="2">
        <v>1</v>
      </c>
      <c r="D77" s="2">
        <v>100</v>
      </c>
      <c r="E77" s="2">
        <f>Table13[[#This Row],[Quantity]]*Table13[[#This Row],[Price ]]</f>
        <v>100</v>
      </c>
      <c r="F77" s="3" t="str">
        <f>PROPER(Table13[[#This Row],[Product Name(RAW)]])</f>
        <v xml:space="preserve">18M Sarface Box </v>
      </c>
      <c r="G77" s="3" t="str">
        <f>TEXT(Table13[[#This Row],[Date]],"dddd")</f>
        <v>Thursday</v>
      </c>
      <c r="H77" s="3" t="str">
        <f t="shared" si="2"/>
        <v>Week 1</v>
      </c>
      <c r="I77" s="3" t="str">
        <f t="shared" si="3"/>
        <v>01-07</v>
      </c>
    </row>
    <row r="78" spans="1:9" ht="18.75" x14ac:dyDescent="0.3">
      <c r="A78" s="1">
        <v>46177</v>
      </c>
      <c r="B78" s="2" t="s">
        <v>269</v>
      </c>
      <c r="C78" s="2">
        <v>11</v>
      </c>
      <c r="D78" s="2">
        <v>13</v>
      </c>
      <c r="E78" s="2">
        <f>Table13[[#This Row],[Quantity]]*Table13[[#This Row],[Price ]]</f>
        <v>143</v>
      </c>
      <c r="F78" s="3" t="str">
        <f>PROPER(Table13[[#This Row],[Product Name(RAW)]])</f>
        <v xml:space="preserve">6A Switch </v>
      </c>
      <c r="G78" s="3" t="str">
        <f>TEXT(Table13[[#This Row],[Date]],"dddd")</f>
        <v>Thursday</v>
      </c>
      <c r="H78" s="3" t="str">
        <f t="shared" si="2"/>
        <v>Week 1</v>
      </c>
      <c r="I78" s="3" t="str">
        <f t="shared" si="3"/>
        <v>01-07</v>
      </c>
    </row>
    <row r="79" spans="1:9" ht="18.75" x14ac:dyDescent="0.3">
      <c r="A79" s="1">
        <v>46177</v>
      </c>
      <c r="B79" s="2" t="s">
        <v>28</v>
      </c>
      <c r="C79" s="2">
        <v>6</v>
      </c>
      <c r="D79" s="2">
        <v>35</v>
      </c>
      <c r="E79" s="2">
        <f>Table13[[#This Row],[Quantity]]*Table13[[#This Row],[Price ]]</f>
        <v>210</v>
      </c>
      <c r="F79" s="3" t="str">
        <f>PROPER(Table13[[#This Row],[Product Name(RAW)]])</f>
        <v xml:space="preserve">6A Plug </v>
      </c>
      <c r="G79" s="3" t="str">
        <f>TEXT(Table13[[#This Row],[Date]],"dddd")</f>
        <v>Thursday</v>
      </c>
      <c r="H79" s="3" t="str">
        <f t="shared" si="2"/>
        <v>Week 1</v>
      </c>
      <c r="I79" s="3" t="str">
        <f t="shared" si="3"/>
        <v>01-07</v>
      </c>
    </row>
    <row r="80" spans="1:9" ht="18.75" x14ac:dyDescent="0.3">
      <c r="A80" s="1">
        <v>46177</v>
      </c>
      <c r="B80" s="2" t="s">
        <v>7</v>
      </c>
      <c r="C80" s="2">
        <v>25</v>
      </c>
      <c r="D80" s="2">
        <v>10</v>
      </c>
      <c r="E80" s="2">
        <f>Table13[[#This Row],[Quantity]]*Table13[[#This Row],[Price ]]</f>
        <v>250</v>
      </c>
      <c r="F80" s="3" t="str">
        <f>PROPER(Table13[[#This Row],[Product Name(RAW)]])</f>
        <v xml:space="preserve">2.5 Mm Ss Wire </v>
      </c>
      <c r="G80" s="3" t="str">
        <f>TEXT(Table13[[#This Row],[Date]],"dddd")</f>
        <v>Thursday</v>
      </c>
      <c r="H80" s="3" t="str">
        <f t="shared" si="2"/>
        <v>Week 1</v>
      </c>
      <c r="I80" s="3" t="str">
        <f t="shared" si="3"/>
        <v>01-07</v>
      </c>
    </row>
    <row r="81" spans="1:9" ht="18.75" x14ac:dyDescent="0.3">
      <c r="A81" s="1">
        <v>46177</v>
      </c>
      <c r="B81" s="2" t="s">
        <v>57</v>
      </c>
      <c r="C81" s="2">
        <v>15</v>
      </c>
      <c r="D81" s="2">
        <v>8</v>
      </c>
      <c r="E81" s="2">
        <f>Table13[[#This Row],[Quantity]]*Table13[[#This Row],[Price ]]</f>
        <v>120</v>
      </c>
      <c r="F81" s="3" t="str">
        <f>PROPER(Table13[[#This Row],[Product Name(RAW)]])</f>
        <v xml:space="preserve">Flexible Wire </v>
      </c>
      <c r="G81" s="3" t="str">
        <f>TEXT(Table13[[#This Row],[Date]],"dddd")</f>
        <v>Thursday</v>
      </c>
      <c r="H81" s="3" t="str">
        <f t="shared" si="2"/>
        <v>Week 1</v>
      </c>
      <c r="I81" s="3" t="str">
        <f t="shared" si="3"/>
        <v>01-07</v>
      </c>
    </row>
    <row r="82" spans="1:9" ht="18.75" x14ac:dyDescent="0.3">
      <c r="A82" s="1">
        <v>46177</v>
      </c>
      <c r="B82" s="2" t="s">
        <v>52</v>
      </c>
      <c r="C82" s="2">
        <v>2</v>
      </c>
      <c r="D82" s="2">
        <v>30</v>
      </c>
      <c r="E82" s="2">
        <f>Table13[[#This Row],[Quantity]]*Table13[[#This Row],[Price ]]</f>
        <v>60</v>
      </c>
      <c r="F82" s="3" t="str">
        <f>PROPER(Table13[[#This Row],[Product Name(RAW)]])</f>
        <v xml:space="preserve">A Holder </v>
      </c>
      <c r="G82" s="3" t="str">
        <f>TEXT(Table13[[#This Row],[Date]],"dddd")</f>
        <v>Thursday</v>
      </c>
      <c r="H82" s="3" t="str">
        <f t="shared" si="2"/>
        <v>Week 1</v>
      </c>
      <c r="I82" s="3" t="str">
        <f t="shared" si="3"/>
        <v>01-07</v>
      </c>
    </row>
    <row r="83" spans="1:9" ht="18.75" x14ac:dyDescent="0.3">
      <c r="A83" s="1">
        <v>46177</v>
      </c>
      <c r="B83" s="2" t="s">
        <v>58</v>
      </c>
      <c r="C83" s="2">
        <v>1</v>
      </c>
      <c r="D83" s="2">
        <v>12</v>
      </c>
      <c r="E83" s="2">
        <f>12*Table13[[#This Row],[Price ]]</f>
        <v>144</v>
      </c>
      <c r="F83" s="3" t="str">
        <f>PROPER(Table13[[#This Row],[Product Name(RAW)]])</f>
        <v xml:space="preserve">Sru </v>
      </c>
      <c r="G83" s="3" t="str">
        <f>TEXT(Table13[[#This Row],[Date]],"dddd")</f>
        <v>Thursday</v>
      </c>
      <c r="H83" s="3" t="str">
        <f t="shared" si="2"/>
        <v>Week 1</v>
      </c>
      <c r="I83" s="3" t="str">
        <f t="shared" si="3"/>
        <v>01-07</v>
      </c>
    </row>
    <row r="84" spans="1:9" ht="18.75" x14ac:dyDescent="0.3">
      <c r="A84" s="1">
        <v>46177</v>
      </c>
      <c r="B84" s="2" t="s">
        <v>67</v>
      </c>
      <c r="C84" s="2">
        <v>1</v>
      </c>
      <c r="D84" s="2">
        <v>70</v>
      </c>
      <c r="E84" s="2">
        <f>Table13[[#This Row],[Quantity]]*Table13[[#This Row],[Price ]]</f>
        <v>70</v>
      </c>
      <c r="F84" s="3" t="str">
        <f>PROPER(Table13[[#This Row],[Product Name(RAW)]])</f>
        <v xml:space="preserve">16A Top </v>
      </c>
      <c r="G84" s="3" t="str">
        <f>TEXT(Table13[[#This Row],[Date]],"dddd")</f>
        <v>Thursday</v>
      </c>
      <c r="H84" s="3" t="str">
        <f t="shared" si="2"/>
        <v>Week 1</v>
      </c>
      <c r="I84" s="3" t="str">
        <f t="shared" si="3"/>
        <v>01-07</v>
      </c>
    </row>
    <row r="85" spans="1:9" ht="18.75" x14ac:dyDescent="0.3">
      <c r="A85" s="1">
        <v>46177</v>
      </c>
      <c r="B85" s="2" t="s">
        <v>68</v>
      </c>
      <c r="C85" s="2">
        <v>1</v>
      </c>
      <c r="D85" s="2">
        <v>320</v>
      </c>
      <c r="E85" s="2">
        <f>Table13[[#This Row],[Quantity]]*Table13[[#This Row],[Price ]]</f>
        <v>320</v>
      </c>
      <c r="F85" s="3" t="str">
        <f>PROPER(Table13[[#This Row],[Product Name(RAW)]])</f>
        <v>2000W Bucket Heater</v>
      </c>
      <c r="G85" s="3" t="str">
        <f>TEXT(Table13[[#This Row],[Date]],"dddd")</f>
        <v>Thursday</v>
      </c>
      <c r="H85" s="3" t="str">
        <f t="shared" si="2"/>
        <v>Week 1</v>
      </c>
      <c r="I85" s="3" t="str">
        <f t="shared" si="3"/>
        <v>01-07</v>
      </c>
    </row>
    <row r="86" spans="1:9" ht="18.75" x14ac:dyDescent="0.3">
      <c r="A86" s="1">
        <v>46177</v>
      </c>
      <c r="B86" s="2" t="s">
        <v>69</v>
      </c>
      <c r="C86" s="2">
        <v>1</v>
      </c>
      <c r="D86" s="2">
        <v>40</v>
      </c>
      <c r="E86" s="2">
        <f>Table13[[#This Row],[Quantity]]*Table13[[#This Row],[Price ]]</f>
        <v>40</v>
      </c>
      <c r="F86" s="3" t="str">
        <f>PROPER(Table13[[#This Row],[Product Name(RAW)]])</f>
        <v xml:space="preserve">3M Pancham </v>
      </c>
      <c r="G86" s="3" t="str">
        <f>TEXT(Table13[[#This Row],[Date]],"dddd")</f>
        <v>Thursday</v>
      </c>
      <c r="H86" s="3" t="str">
        <f t="shared" si="2"/>
        <v>Week 1</v>
      </c>
      <c r="I86" s="3" t="str">
        <f t="shared" si="3"/>
        <v>01-07</v>
      </c>
    </row>
    <row r="87" spans="1:9" ht="18.75" x14ac:dyDescent="0.3">
      <c r="A87" s="1">
        <v>46177</v>
      </c>
      <c r="B87" s="2" t="s">
        <v>270</v>
      </c>
      <c r="C87" s="2">
        <v>1</v>
      </c>
      <c r="D87" s="2">
        <v>10</v>
      </c>
      <c r="E87" s="2">
        <f>Table13[[#This Row],[Quantity]]*Table13[[#This Row],[Price ]]</f>
        <v>10</v>
      </c>
      <c r="F87" s="3" t="str">
        <f>PROPER(Table13[[#This Row],[Product Name(RAW)]])</f>
        <v xml:space="preserve">6A Switch Liwa </v>
      </c>
      <c r="G87" s="3" t="str">
        <f>TEXT(Table13[[#This Row],[Date]],"dddd")</f>
        <v>Thursday</v>
      </c>
      <c r="H87" s="3" t="str">
        <f t="shared" si="2"/>
        <v>Week 1</v>
      </c>
      <c r="I87" s="3" t="str">
        <f t="shared" si="3"/>
        <v>01-07</v>
      </c>
    </row>
    <row r="88" spans="1:9" ht="18.75" x14ac:dyDescent="0.3">
      <c r="A88" s="1">
        <v>46177</v>
      </c>
      <c r="B88" s="2" t="s">
        <v>57</v>
      </c>
      <c r="C88" s="2">
        <v>4</v>
      </c>
      <c r="D88" s="2">
        <v>10</v>
      </c>
      <c r="E88" s="2">
        <f>Table13[[#This Row],[Quantity]]*Table13[[#This Row],[Price ]]</f>
        <v>40</v>
      </c>
      <c r="F88" s="3" t="str">
        <f>PROPER(Table13[[#This Row],[Product Name(RAW)]])</f>
        <v xml:space="preserve">Flexible Wire </v>
      </c>
      <c r="G88" s="3" t="str">
        <f>TEXT(Table13[[#This Row],[Date]],"dddd")</f>
        <v>Thursday</v>
      </c>
      <c r="H88" s="3" t="str">
        <f t="shared" si="2"/>
        <v>Week 1</v>
      </c>
      <c r="I88" s="3" t="str">
        <f t="shared" si="3"/>
        <v>01-07</v>
      </c>
    </row>
    <row r="89" spans="1:9" ht="18.75" x14ac:dyDescent="0.3">
      <c r="A89" s="1">
        <v>46178</v>
      </c>
      <c r="B89" s="2" t="s">
        <v>57</v>
      </c>
      <c r="C89" s="2">
        <v>2</v>
      </c>
      <c r="D89" s="2">
        <v>10</v>
      </c>
      <c r="E89" s="2">
        <f>Table13[[#This Row],[Quantity]]*Table13[[#This Row],[Price ]]</f>
        <v>20</v>
      </c>
      <c r="F89" s="3" t="str">
        <f>PROPER(Table13[[#This Row],[Product Name(RAW)]])</f>
        <v xml:space="preserve">Flexible Wire </v>
      </c>
      <c r="G89" s="3" t="str">
        <f>TEXT(Table13[[#This Row],[Date]],"dddd")</f>
        <v>Friday</v>
      </c>
      <c r="H89" s="3" t="str">
        <f t="shared" si="2"/>
        <v>Week 1</v>
      </c>
      <c r="I89" s="3" t="str">
        <f t="shared" si="3"/>
        <v>01-07</v>
      </c>
    </row>
    <row r="90" spans="1:9" ht="18.75" x14ac:dyDescent="0.3">
      <c r="A90" s="1">
        <v>46178</v>
      </c>
      <c r="B90" s="2" t="s">
        <v>14</v>
      </c>
      <c r="C90" s="2">
        <v>1</v>
      </c>
      <c r="D90" s="2">
        <v>40</v>
      </c>
      <c r="E90" s="2">
        <f>Table13[[#This Row],[Quantity]]*Table13[[#This Row],[Price ]]</f>
        <v>40</v>
      </c>
      <c r="F90" s="3" t="str">
        <f>PROPER(Table13[[#This Row],[Product Name(RAW)]])</f>
        <v>Visha L Coil</v>
      </c>
      <c r="G90" s="3" t="str">
        <f>TEXT(Table13[[#This Row],[Date]],"dddd")</f>
        <v>Friday</v>
      </c>
      <c r="H90" s="3" t="str">
        <f t="shared" si="2"/>
        <v>Week 1</v>
      </c>
      <c r="I90" s="3" t="str">
        <f t="shared" si="3"/>
        <v>01-07</v>
      </c>
    </row>
    <row r="91" spans="1:9" ht="18.75" x14ac:dyDescent="0.3">
      <c r="A91" s="1">
        <v>46178</v>
      </c>
      <c r="B91" s="2" t="s">
        <v>70</v>
      </c>
      <c r="C91" s="2">
        <v>1</v>
      </c>
      <c r="D91" s="2">
        <v>70</v>
      </c>
      <c r="E91" s="2">
        <f>Table13[[#This Row],[Quantity]]*Table13[[#This Row],[Price ]]</f>
        <v>70</v>
      </c>
      <c r="F91" s="3" t="str">
        <f>PROPER(Table13[[#This Row],[Product Name(RAW)]])</f>
        <v>32A Cutout Hindusathan</v>
      </c>
      <c r="G91" s="3" t="str">
        <f>TEXT(Table13[[#This Row],[Date]],"dddd")</f>
        <v>Friday</v>
      </c>
      <c r="H91" s="3" t="str">
        <f t="shared" si="2"/>
        <v>Week 1</v>
      </c>
      <c r="I91" s="3" t="str">
        <f t="shared" si="3"/>
        <v>01-07</v>
      </c>
    </row>
    <row r="92" spans="1:9" ht="18.75" x14ac:dyDescent="0.3">
      <c r="A92" s="1">
        <v>46178</v>
      </c>
      <c r="B92" s="2" t="s">
        <v>18</v>
      </c>
      <c r="C92" s="2">
        <v>1</v>
      </c>
      <c r="D92" s="2">
        <v>50</v>
      </c>
      <c r="E92" s="2">
        <f>Table13[[#This Row],[Quantity]]*Table13[[#This Row],[Price ]]</f>
        <v>50</v>
      </c>
      <c r="F92" s="3" t="str">
        <f>PROPER(Table13[[#This Row],[Product Name(RAW)]])</f>
        <v xml:space="preserve">6A Top Pin Cona </v>
      </c>
      <c r="G92" s="3" t="str">
        <f>TEXT(Table13[[#This Row],[Date]],"dddd")</f>
        <v>Friday</v>
      </c>
      <c r="H92" s="3" t="str">
        <f t="shared" si="2"/>
        <v>Week 1</v>
      </c>
      <c r="I92" s="3" t="str">
        <f t="shared" si="3"/>
        <v>01-07</v>
      </c>
    </row>
    <row r="93" spans="1:9" ht="18.75" x14ac:dyDescent="0.3">
      <c r="A93" s="1">
        <v>46178</v>
      </c>
      <c r="B93" s="2" t="s">
        <v>71</v>
      </c>
      <c r="C93" s="2">
        <v>2</v>
      </c>
      <c r="D93" s="2">
        <v>60</v>
      </c>
      <c r="E93" s="2">
        <f>Table13[[#This Row],[Quantity]]*Table13[[#This Row],[Price ]]</f>
        <v>120</v>
      </c>
      <c r="F93" s="3" t="str">
        <f>PROPER(Table13[[#This Row],[Product Name(RAW)]])</f>
        <v xml:space="preserve">9W Light </v>
      </c>
      <c r="G93" s="3" t="str">
        <f>TEXT(Table13[[#This Row],[Date]],"dddd")</f>
        <v>Friday</v>
      </c>
      <c r="H93" s="3" t="str">
        <f t="shared" si="2"/>
        <v>Week 1</v>
      </c>
      <c r="I93" s="3" t="str">
        <f t="shared" si="3"/>
        <v>01-07</v>
      </c>
    </row>
    <row r="94" spans="1:9" ht="18.75" x14ac:dyDescent="0.3">
      <c r="A94" s="1">
        <v>46178</v>
      </c>
      <c r="B94" s="2" t="s">
        <v>72</v>
      </c>
      <c r="C94" s="2">
        <v>1</v>
      </c>
      <c r="D94" s="2">
        <v>120</v>
      </c>
      <c r="E94" s="2">
        <f>Table13[[#This Row],[Quantity]]*Table13[[#This Row],[Price ]]</f>
        <v>120</v>
      </c>
      <c r="F94" s="3" t="str">
        <f>PROPER(Table13[[#This Row],[Product Name(RAW)]])</f>
        <v xml:space="preserve">20W Tub Light </v>
      </c>
      <c r="G94" s="3" t="str">
        <f>TEXT(Table13[[#This Row],[Date]],"dddd")</f>
        <v>Friday</v>
      </c>
      <c r="H94" s="3" t="str">
        <f t="shared" si="2"/>
        <v>Week 1</v>
      </c>
      <c r="I94" s="3" t="str">
        <f t="shared" si="3"/>
        <v>01-07</v>
      </c>
    </row>
    <row r="95" spans="1:9" ht="18.75" x14ac:dyDescent="0.3">
      <c r="A95" s="1">
        <v>46178</v>
      </c>
      <c r="B95" s="2" t="s">
        <v>73</v>
      </c>
      <c r="C95" s="2">
        <v>2</v>
      </c>
      <c r="D95" s="2">
        <v>30</v>
      </c>
      <c r="E95" s="2">
        <f>Table13[[#This Row],[Quantity]]*Table13[[#This Row],[Price ]]</f>
        <v>60</v>
      </c>
      <c r="F95" s="3" t="str">
        <f>PROPER(Table13[[#This Row],[Product Name(RAW)]])</f>
        <v xml:space="preserve">V Claim </v>
      </c>
      <c r="G95" s="3" t="str">
        <f>TEXT(Table13[[#This Row],[Date]],"dddd")</f>
        <v>Friday</v>
      </c>
      <c r="H95" s="3" t="str">
        <f t="shared" si="2"/>
        <v>Week 1</v>
      </c>
      <c r="I95" s="3" t="str">
        <f t="shared" si="3"/>
        <v>01-07</v>
      </c>
    </row>
    <row r="96" spans="1:9" ht="18.75" x14ac:dyDescent="0.3">
      <c r="A96" s="1">
        <v>46178</v>
      </c>
      <c r="B96" s="2" t="s">
        <v>74</v>
      </c>
      <c r="C96" s="2">
        <v>2</v>
      </c>
      <c r="D96" s="2">
        <v>60</v>
      </c>
      <c r="E96" s="2">
        <f>Table13[[#This Row],[Quantity]]*Table13[[#This Row],[Price ]]</f>
        <v>120</v>
      </c>
      <c r="F96" s="3" t="str">
        <f>PROPER(Table13[[#This Row],[Product Name(RAW)]])</f>
        <v xml:space="preserve">Fasner </v>
      </c>
      <c r="G96" s="3" t="str">
        <f>TEXT(Table13[[#This Row],[Date]],"dddd")</f>
        <v>Friday</v>
      </c>
      <c r="H96" s="3" t="str">
        <f t="shared" si="2"/>
        <v>Week 1</v>
      </c>
      <c r="I96" s="3" t="str">
        <f t="shared" si="3"/>
        <v>01-07</v>
      </c>
    </row>
    <row r="97" spans="1:9" ht="18.75" x14ac:dyDescent="0.3">
      <c r="A97" s="1">
        <v>46178</v>
      </c>
      <c r="B97" s="2" t="s">
        <v>75</v>
      </c>
      <c r="C97" s="2">
        <v>1</v>
      </c>
      <c r="D97" s="2">
        <v>70</v>
      </c>
      <c r="E97" s="2">
        <f>Table13[[#This Row],[Quantity]]*Table13[[#This Row],[Price ]]</f>
        <v>70</v>
      </c>
      <c r="F97" s="3" t="str">
        <f>PROPER(Table13[[#This Row],[Product Name(RAW)]])</f>
        <v>15'' Fan Pipe</v>
      </c>
      <c r="G97" s="3" t="str">
        <f>TEXT(Table13[[#This Row],[Date]],"dddd")</f>
        <v>Friday</v>
      </c>
      <c r="H97" s="3" t="str">
        <f t="shared" si="2"/>
        <v>Week 1</v>
      </c>
      <c r="I97" s="3" t="str">
        <f t="shared" si="3"/>
        <v>01-07</v>
      </c>
    </row>
    <row r="98" spans="1:9" ht="18.75" x14ac:dyDescent="0.3">
      <c r="A98" s="1">
        <v>46178</v>
      </c>
      <c r="B98" s="2" t="s">
        <v>76</v>
      </c>
      <c r="C98" s="2">
        <v>1</v>
      </c>
      <c r="D98" s="2">
        <v>40</v>
      </c>
      <c r="E98" s="2">
        <f>Table13[[#This Row],[Quantity]]*Table13[[#This Row],[Price ]]</f>
        <v>40</v>
      </c>
      <c r="F98" s="3" t="str">
        <f>PROPER(Table13[[#This Row],[Product Name(RAW)]])</f>
        <v>12'' Fan Pipe</v>
      </c>
      <c r="G98" s="3" t="str">
        <f>TEXT(Table13[[#This Row],[Date]],"dddd")</f>
        <v>Friday</v>
      </c>
      <c r="H98" s="3" t="str">
        <f t="shared" si="2"/>
        <v>Week 1</v>
      </c>
      <c r="I98" s="3" t="str">
        <f t="shared" si="3"/>
        <v>01-07</v>
      </c>
    </row>
    <row r="99" spans="1:9" ht="18.75" x14ac:dyDescent="0.3">
      <c r="A99" s="1">
        <v>46178</v>
      </c>
      <c r="B99" s="2" t="s">
        <v>77</v>
      </c>
      <c r="C99" s="2">
        <v>4</v>
      </c>
      <c r="D99" s="2">
        <v>1180</v>
      </c>
      <c r="E99" s="2">
        <f>Table13[[#This Row],[Quantity]]*Table13[[#This Row],[Price ]]</f>
        <v>4720</v>
      </c>
      <c r="F99" s="3" t="str">
        <f>PROPER(Table13[[#This Row],[Product Name(RAW)]])</f>
        <v xml:space="preserve">120W Flood Light </v>
      </c>
      <c r="G99" s="3" t="str">
        <f>TEXT(Table13[[#This Row],[Date]],"dddd")</f>
        <v>Friday</v>
      </c>
      <c r="H99" s="3" t="str">
        <f t="shared" si="2"/>
        <v>Week 1</v>
      </c>
      <c r="I99" s="3" t="str">
        <f t="shared" si="3"/>
        <v>01-07</v>
      </c>
    </row>
    <row r="100" spans="1:9" ht="18.75" x14ac:dyDescent="0.3">
      <c r="A100" s="1">
        <v>46178</v>
      </c>
      <c r="B100" s="2" t="s">
        <v>78</v>
      </c>
      <c r="C100" s="2">
        <v>1</v>
      </c>
      <c r="D100" s="2">
        <v>280</v>
      </c>
      <c r="E100" s="2">
        <f>Table13[[#This Row],[Quantity]]*Table13[[#This Row],[Price ]]</f>
        <v>280</v>
      </c>
      <c r="F100" s="3" t="str">
        <f>PROPER(Table13[[#This Row],[Product Name(RAW)]])</f>
        <v xml:space="preserve">36W Light Eco </v>
      </c>
      <c r="G100" s="3" t="str">
        <f>TEXT(Table13[[#This Row],[Date]],"dddd")</f>
        <v>Friday</v>
      </c>
      <c r="H100" s="3" t="str">
        <f t="shared" si="2"/>
        <v>Week 1</v>
      </c>
      <c r="I100" s="3" t="str">
        <f t="shared" si="3"/>
        <v>01-07</v>
      </c>
    </row>
    <row r="101" spans="1:9" ht="18.75" x14ac:dyDescent="0.3">
      <c r="A101" s="1">
        <v>46178</v>
      </c>
      <c r="B101" s="2" t="s">
        <v>79</v>
      </c>
      <c r="C101" s="2">
        <v>1</v>
      </c>
      <c r="D101" s="2">
        <v>110</v>
      </c>
      <c r="E101" s="2">
        <f>Table13[[#This Row],[Quantity]]*Table13[[#This Row],[Price ]]</f>
        <v>110</v>
      </c>
      <c r="F101" s="3" t="str">
        <f>PROPER(Table13[[#This Row],[Product Name(RAW)]])</f>
        <v>16A Mini Mcb Liwa</v>
      </c>
      <c r="G101" s="3" t="str">
        <f>TEXT(Table13[[#This Row],[Date]],"dddd")</f>
        <v>Friday</v>
      </c>
      <c r="H101" s="3" t="str">
        <f t="shared" si="2"/>
        <v>Week 1</v>
      </c>
      <c r="I101" s="3" t="str">
        <f t="shared" si="3"/>
        <v>01-07</v>
      </c>
    </row>
    <row r="102" spans="1:9" ht="18.75" x14ac:dyDescent="0.3">
      <c r="A102" s="1">
        <v>46178</v>
      </c>
      <c r="B102" s="2" t="s">
        <v>80</v>
      </c>
      <c r="C102" s="2">
        <v>1</v>
      </c>
      <c r="D102" s="2">
        <v>210</v>
      </c>
      <c r="E102" s="2">
        <f>Table13[[#This Row],[Quantity]]*Table13[[#This Row],[Price ]]</f>
        <v>210</v>
      </c>
      <c r="F102" s="3" t="str">
        <f>PROPER(Table13[[#This Row],[Product Name(RAW)]])</f>
        <v>Wawa Cona Power Box</v>
      </c>
      <c r="G102" s="3" t="str">
        <f>TEXT(Table13[[#This Row],[Date]],"dddd")</f>
        <v>Friday</v>
      </c>
      <c r="H102" s="3" t="str">
        <f t="shared" si="2"/>
        <v>Week 1</v>
      </c>
      <c r="I102" s="3" t="str">
        <f t="shared" si="3"/>
        <v>01-07</v>
      </c>
    </row>
    <row r="103" spans="1:9" ht="18.75" x14ac:dyDescent="0.3">
      <c r="A103" s="1">
        <v>46178</v>
      </c>
      <c r="B103" s="2" t="s">
        <v>52</v>
      </c>
      <c r="C103" s="2">
        <v>1</v>
      </c>
      <c r="D103" s="2">
        <v>30</v>
      </c>
      <c r="E103" s="2">
        <f>Table13[[#This Row],[Quantity]]*Table13[[#This Row],[Price ]]</f>
        <v>30</v>
      </c>
      <c r="F103" s="3" t="str">
        <f>PROPER(Table13[[#This Row],[Product Name(RAW)]])</f>
        <v xml:space="preserve">A Holder </v>
      </c>
      <c r="G103" s="3" t="str">
        <f>TEXT(Table13[[#This Row],[Date]],"dddd")</f>
        <v>Friday</v>
      </c>
      <c r="H103" s="3" t="str">
        <f t="shared" si="2"/>
        <v>Week 1</v>
      </c>
      <c r="I103" s="3" t="str">
        <f t="shared" si="3"/>
        <v>01-07</v>
      </c>
    </row>
    <row r="104" spans="1:9" ht="18.75" x14ac:dyDescent="0.3">
      <c r="A104" s="1">
        <v>46178</v>
      </c>
      <c r="B104" s="2" t="s">
        <v>81</v>
      </c>
      <c r="C104" s="2">
        <v>1</v>
      </c>
      <c r="D104" s="2">
        <v>10</v>
      </c>
      <c r="E104" s="2">
        <f>Table13[[#This Row],[Quantity]]*Table13[[#This Row],[Price ]]</f>
        <v>10</v>
      </c>
      <c r="F104" s="3" t="str">
        <f>PROPER(Table13[[#This Row],[Product Name(RAW)]])</f>
        <v>2Way K Junction</v>
      </c>
      <c r="G104" s="3" t="str">
        <f>TEXT(Table13[[#This Row],[Date]],"dddd")</f>
        <v>Friday</v>
      </c>
      <c r="H104" s="3" t="str">
        <f t="shared" si="2"/>
        <v>Week 1</v>
      </c>
      <c r="I104" s="3" t="str">
        <f t="shared" si="3"/>
        <v>01-07</v>
      </c>
    </row>
    <row r="105" spans="1:9" ht="18.75" x14ac:dyDescent="0.3">
      <c r="A105" s="1">
        <v>46178</v>
      </c>
      <c r="B105" s="2" t="s">
        <v>273</v>
      </c>
      <c r="C105" s="2">
        <v>1</v>
      </c>
      <c r="D105" s="2">
        <v>220</v>
      </c>
      <c r="E105" s="2">
        <f>Table13[[#This Row],[Quantity]]*Table13[[#This Row],[Price ]]</f>
        <v>220</v>
      </c>
      <c r="F105" s="3" t="str">
        <f>PROPER(Table13[[#This Row],[Product Name(RAW)]])</f>
        <v xml:space="preserve">Shegdi </v>
      </c>
      <c r="G105" s="3" t="str">
        <f>TEXT(Table13[[#This Row],[Date]],"dddd")</f>
        <v>Friday</v>
      </c>
      <c r="H105" s="3" t="str">
        <f t="shared" si="2"/>
        <v>Week 1</v>
      </c>
      <c r="I105" s="3" t="str">
        <f t="shared" si="3"/>
        <v>01-07</v>
      </c>
    </row>
    <row r="106" spans="1:9" ht="18.75" x14ac:dyDescent="0.3">
      <c r="A106" s="1">
        <v>46178</v>
      </c>
      <c r="B106" s="2" t="s">
        <v>82</v>
      </c>
      <c r="C106" s="2">
        <v>3</v>
      </c>
      <c r="D106" s="2">
        <v>15</v>
      </c>
      <c r="E106" s="2">
        <f>Table13[[#This Row],[Quantity]]*Table13[[#This Row],[Price ]]</f>
        <v>45</v>
      </c>
      <c r="F106" s="3" t="str">
        <f>PROPER(Table13[[#This Row],[Product Name(RAW)]])</f>
        <v>4Mm Ss Wire</v>
      </c>
      <c r="G106" s="3" t="str">
        <f>TEXT(Table13[[#This Row],[Date]],"dddd")</f>
        <v>Friday</v>
      </c>
      <c r="H106" s="3" t="str">
        <f t="shared" si="2"/>
        <v>Week 1</v>
      </c>
      <c r="I106" s="3" t="str">
        <f t="shared" si="3"/>
        <v>01-07</v>
      </c>
    </row>
    <row r="107" spans="1:9" ht="18.75" x14ac:dyDescent="0.3">
      <c r="A107" s="1">
        <v>46178</v>
      </c>
      <c r="B107" s="2" t="s">
        <v>67</v>
      </c>
      <c r="C107" s="2">
        <v>1</v>
      </c>
      <c r="D107" s="2">
        <v>70</v>
      </c>
      <c r="E107" s="2">
        <f>Table13[[#This Row],[Quantity]]*Table13[[#This Row],[Price ]]</f>
        <v>70</v>
      </c>
      <c r="F107" s="3" t="str">
        <f>PROPER(Table13[[#This Row],[Product Name(RAW)]])</f>
        <v xml:space="preserve">16A Top </v>
      </c>
      <c r="G107" s="3" t="str">
        <f>TEXT(Table13[[#This Row],[Date]],"dddd")</f>
        <v>Friday</v>
      </c>
      <c r="H107" s="3" t="str">
        <f t="shared" si="2"/>
        <v>Week 1</v>
      </c>
      <c r="I107" s="3" t="str">
        <f t="shared" si="3"/>
        <v>01-07</v>
      </c>
    </row>
    <row r="108" spans="1:9" ht="18.75" x14ac:dyDescent="0.3">
      <c r="A108" s="1">
        <v>46178</v>
      </c>
      <c r="B108" s="2" t="s">
        <v>8</v>
      </c>
      <c r="C108" s="2">
        <v>1</v>
      </c>
      <c r="D108" s="2">
        <v>150</v>
      </c>
      <c r="E108" s="2">
        <f>Table13[[#This Row],[Quantity]]*Table13[[#This Row],[Price ]]</f>
        <v>150</v>
      </c>
      <c r="F108" s="3" t="str">
        <f>PROPER(Table13[[#This Row],[Product Name(RAW)]])</f>
        <v xml:space="preserve">Power Plate </v>
      </c>
      <c r="G108" s="3" t="str">
        <f>TEXT(Table13[[#This Row],[Date]],"dddd")</f>
        <v>Friday</v>
      </c>
      <c r="H108" s="3" t="str">
        <f t="shared" si="2"/>
        <v>Week 1</v>
      </c>
      <c r="I108" s="3" t="str">
        <f t="shared" si="3"/>
        <v>01-07</v>
      </c>
    </row>
    <row r="109" spans="1:9" ht="18.75" x14ac:dyDescent="0.3">
      <c r="A109" s="1">
        <v>46178</v>
      </c>
      <c r="B109" s="2" t="s">
        <v>14</v>
      </c>
      <c r="C109" s="2">
        <v>1</v>
      </c>
      <c r="D109" s="2">
        <v>40</v>
      </c>
      <c r="E109" s="2">
        <f>Table13[[#This Row],[Quantity]]*Table13[[#This Row],[Price ]]</f>
        <v>40</v>
      </c>
      <c r="F109" s="3" t="str">
        <f>PROPER(Table13[[#This Row],[Product Name(RAW)]])</f>
        <v>Visha L Coil</v>
      </c>
      <c r="G109" s="3" t="str">
        <f>TEXT(Table13[[#This Row],[Date]],"dddd")</f>
        <v>Friday</v>
      </c>
      <c r="H109" s="3" t="str">
        <f t="shared" si="2"/>
        <v>Week 1</v>
      </c>
      <c r="I109" s="3" t="str">
        <f t="shared" si="3"/>
        <v>01-07</v>
      </c>
    </row>
    <row r="110" spans="1:9" ht="18.75" x14ac:dyDescent="0.3">
      <c r="A110" s="1">
        <v>46178</v>
      </c>
      <c r="B110" s="2" t="s">
        <v>83</v>
      </c>
      <c r="C110" s="2">
        <v>1</v>
      </c>
      <c r="D110" s="2">
        <v>95</v>
      </c>
      <c r="E110" s="2">
        <f>Table13[[#This Row],[Quantity]]*Table13[[#This Row],[Price ]]</f>
        <v>95</v>
      </c>
      <c r="F110" s="3" t="str">
        <f>PROPER(Table13[[#This Row],[Product Name(RAW)]])</f>
        <v>8M Plate Liwa</v>
      </c>
      <c r="G110" s="3" t="str">
        <f>TEXT(Table13[[#This Row],[Date]],"dddd")</f>
        <v>Friday</v>
      </c>
      <c r="H110" s="3" t="str">
        <f t="shared" si="2"/>
        <v>Week 1</v>
      </c>
      <c r="I110" s="3" t="str">
        <f t="shared" si="3"/>
        <v>01-07</v>
      </c>
    </row>
    <row r="111" spans="1:9" ht="18.75" x14ac:dyDescent="0.3">
      <c r="A111" s="1">
        <v>46178</v>
      </c>
      <c r="B111" s="2" t="s">
        <v>84</v>
      </c>
      <c r="C111" s="2">
        <v>1</v>
      </c>
      <c r="D111" s="2">
        <v>85</v>
      </c>
      <c r="E111" s="2"/>
      <c r="F111" s="3" t="str">
        <f>PROPER(Table13[[#This Row],[Product Name(RAW)]])</f>
        <v>6M Plate Liwa</v>
      </c>
      <c r="G111" s="3" t="str">
        <f>TEXT(Table13[[#This Row],[Date]],"dddd")</f>
        <v>Friday</v>
      </c>
      <c r="H111" s="3" t="str">
        <f t="shared" si="2"/>
        <v>Week 1</v>
      </c>
      <c r="I111" s="3" t="str">
        <f t="shared" si="3"/>
        <v>01-07</v>
      </c>
    </row>
    <row r="112" spans="1:9" ht="18.75" x14ac:dyDescent="0.3">
      <c r="A112" s="1">
        <v>46178</v>
      </c>
      <c r="B112" s="2" t="s">
        <v>269</v>
      </c>
      <c r="C112" s="2">
        <v>3</v>
      </c>
      <c r="D112" s="2">
        <v>15</v>
      </c>
      <c r="E112" s="2">
        <v>45</v>
      </c>
      <c r="F112" s="3" t="str">
        <f>PROPER(Table13[[#This Row],[Product Name(RAW)]])</f>
        <v xml:space="preserve">6A Switch </v>
      </c>
      <c r="G112" s="3" t="str">
        <f>TEXT(Table13[[#This Row],[Date]],"dddd")</f>
        <v>Friday</v>
      </c>
      <c r="H112" s="3" t="str">
        <f t="shared" si="2"/>
        <v>Week 1</v>
      </c>
      <c r="I112" s="3" t="str">
        <f t="shared" si="3"/>
        <v>01-07</v>
      </c>
    </row>
    <row r="113" spans="1:9" ht="18.75" x14ac:dyDescent="0.3">
      <c r="A113" s="1">
        <v>46178</v>
      </c>
      <c r="B113" s="2" t="s">
        <v>28</v>
      </c>
      <c r="C113" s="2">
        <v>1</v>
      </c>
      <c r="D113" s="2">
        <v>35</v>
      </c>
      <c r="E113" s="2">
        <v>35</v>
      </c>
      <c r="F113" s="3" t="str">
        <f>PROPER(Table13[[#This Row],[Product Name(RAW)]])</f>
        <v xml:space="preserve">6A Plug </v>
      </c>
      <c r="G113" s="3" t="str">
        <f>TEXT(Table13[[#This Row],[Date]],"dddd")</f>
        <v>Friday</v>
      </c>
      <c r="H113" s="3" t="str">
        <f t="shared" si="2"/>
        <v>Week 1</v>
      </c>
      <c r="I113" s="3" t="str">
        <f t="shared" si="3"/>
        <v>01-07</v>
      </c>
    </row>
    <row r="114" spans="1:9" ht="18.75" x14ac:dyDescent="0.3">
      <c r="A114" s="1">
        <v>46178</v>
      </c>
      <c r="B114" s="2" t="s">
        <v>85</v>
      </c>
      <c r="C114" s="2">
        <v>1</v>
      </c>
      <c r="D114" s="2">
        <v>40</v>
      </c>
      <c r="E114" s="2">
        <v>40</v>
      </c>
      <c r="F114" s="3" t="str">
        <f>PROPER(Table13[[#This Row],[Product Name(RAW)]])</f>
        <v xml:space="preserve">Indicator Liva </v>
      </c>
      <c r="G114" s="3" t="str">
        <f>TEXT(Table13[[#This Row],[Date]],"dddd")</f>
        <v>Friday</v>
      </c>
      <c r="H114" s="3" t="str">
        <f t="shared" si="2"/>
        <v>Week 1</v>
      </c>
      <c r="I114" s="3" t="str">
        <f t="shared" si="3"/>
        <v>01-07</v>
      </c>
    </row>
    <row r="115" spans="1:9" ht="18.75" x14ac:dyDescent="0.3">
      <c r="A115" s="1">
        <v>46178</v>
      </c>
      <c r="B115" s="2" t="s">
        <v>86</v>
      </c>
      <c r="C115" s="2">
        <v>1</v>
      </c>
      <c r="D115" s="2">
        <v>10</v>
      </c>
      <c r="E115" s="2">
        <v>10</v>
      </c>
      <c r="F115" s="3" t="str">
        <f>PROPER(Table13[[#This Row],[Product Name(RAW)]])</f>
        <v>Flxiable Wire</v>
      </c>
      <c r="G115" s="3" t="str">
        <f>TEXT(Table13[[#This Row],[Date]],"dddd")</f>
        <v>Friday</v>
      </c>
      <c r="H115" s="3" t="str">
        <f t="shared" si="2"/>
        <v>Week 1</v>
      </c>
      <c r="I115" s="3" t="str">
        <f t="shared" si="3"/>
        <v>01-07</v>
      </c>
    </row>
    <row r="116" spans="1:9" ht="18.75" x14ac:dyDescent="0.3">
      <c r="A116" s="1">
        <v>46178</v>
      </c>
      <c r="B116" s="2" t="s">
        <v>87</v>
      </c>
      <c r="C116" s="2">
        <v>1</v>
      </c>
      <c r="D116" s="2">
        <v>10</v>
      </c>
      <c r="E116" s="2">
        <v>10</v>
      </c>
      <c r="F116" s="3" t="str">
        <f>PROPER(Table13[[#This Row],[Product Name(RAW)]])</f>
        <v xml:space="preserve">2 Pin </v>
      </c>
      <c r="G116" s="3" t="str">
        <f>TEXT(Table13[[#This Row],[Date]],"dddd")</f>
        <v>Friday</v>
      </c>
      <c r="H116" s="3" t="str">
        <f t="shared" si="2"/>
        <v>Week 1</v>
      </c>
      <c r="I116" s="3" t="str">
        <f t="shared" si="3"/>
        <v>01-07</v>
      </c>
    </row>
    <row r="117" spans="1:9" ht="18.75" x14ac:dyDescent="0.3">
      <c r="A117" s="1">
        <v>46178</v>
      </c>
      <c r="B117" s="2" t="s">
        <v>88</v>
      </c>
      <c r="C117" s="2">
        <v>1</v>
      </c>
      <c r="D117" s="2">
        <v>20</v>
      </c>
      <c r="E117" s="2">
        <v>20</v>
      </c>
      <c r="F117" s="3" t="str">
        <f>PROPER(Table13[[#This Row],[Product Name(RAW)]])</f>
        <v>Sada 3 Pin Multy</v>
      </c>
      <c r="G117" s="3" t="str">
        <f>TEXT(Table13[[#This Row],[Date]],"dddd")</f>
        <v>Friday</v>
      </c>
      <c r="H117" s="3" t="str">
        <f t="shared" si="2"/>
        <v>Week 1</v>
      </c>
      <c r="I117" s="3" t="str">
        <f t="shared" si="3"/>
        <v>01-07</v>
      </c>
    </row>
    <row r="118" spans="1:9" ht="18.75" x14ac:dyDescent="0.3">
      <c r="A118" s="1">
        <v>46179</v>
      </c>
      <c r="B118" s="2" t="s">
        <v>89</v>
      </c>
      <c r="C118" s="2">
        <v>3</v>
      </c>
      <c r="D118" s="2">
        <v>120</v>
      </c>
      <c r="E118" s="2">
        <v>360</v>
      </c>
      <c r="F118" s="3" t="str">
        <f>PROPER(Table13[[#This Row],[Product Name(RAW)]])</f>
        <v xml:space="preserve">Meain Switch </v>
      </c>
      <c r="G118" s="3" t="str">
        <f>TEXT(Table13[[#This Row],[Date]],"dddd")</f>
        <v>Saturday</v>
      </c>
      <c r="H118" s="3" t="str">
        <f t="shared" si="2"/>
        <v>Week 1</v>
      </c>
      <c r="I118" s="3" t="str">
        <f t="shared" si="3"/>
        <v>01-07</v>
      </c>
    </row>
    <row r="119" spans="1:9" ht="18.75" x14ac:dyDescent="0.3">
      <c r="A119" s="1">
        <v>46179</v>
      </c>
      <c r="B119" s="2" t="s">
        <v>8</v>
      </c>
      <c r="C119" s="2">
        <v>1</v>
      </c>
      <c r="D119" s="2">
        <v>150</v>
      </c>
      <c r="E119" s="2">
        <v>150</v>
      </c>
      <c r="F119" s="3" t="str">
        <f>PROPER(Table13[[#This Row],[Product Name(RAW)]])</f>
        <v xml:space="preserve">Power Plate </v>
      </c>
      <c r="G119" s="3" t="str">
        <f>TEXT(Table13[[#This Row],[Date]],"dddd")</f>
        <v>Saturday</v>
      </c>
      <c r="H119" s="3" t="str">
        <f t="shared" si="2"/>
        <v>Week 1</v>
      </c>
      <c r="I119" s="3" t="str">
        <f t="shared" si="3"/>
        <v>01-07</v>
      </c>
    </row>
    <row r="120" spans="1:9" ht="18.75" x14ac:dyDescent="0.3">
      <c r="A120" s="1">
        <v>46179</v>
      </c>
      <c r="B120" s="2" t="s">
        <v>14</v>
      </c>
      <c r="C120" s="2">
        <v>1</v>
      </c>
      <c r="D120" s="2">
        <v>40</v>
      </c>
      <c r="E120" s="2">
        <v>40</v>
      </c>
      <c r="F120" s="3" t="str">
        <f>PROPER(Table13[[#This Row],[Product Name(RAW)]])</f>
        <v>Visha L Coil</v>
      </c>
      <c r="G120" s="3" t="str">
        <f>TEXT(Table13[[#This Row],[Date]],"dddd")</f>
        <v>Saturday</v>
      </c>
      <c r="H120" s="3" t="str">
        <f t="shared" si="2"/>
        <v>Week 1</v>
      </c>
      <c r="I120" s="3" t="str">
        <f t="shared" si="3"/>
        <v>01-07</v>
      </c>
    </row>
    <row r="121" spans="1:9" ht="18.75" x14ac:dyDescent="0.3">
      <c r="A121" s="1">
        <v>46179</v>
      </c>
      <c r="B121" s="2" t="s">
        <v>90</v>
      </c>
      <c r="C121" s="2">
        <v>1</v>
      </c>
      <c r="D121" s="2">
        <v>30</v>
      </c>
      <c r="E121" s="2">
        <v>30</v>
      </c>
      <c r="F121" s="3" t="str">
        <f>PROPER(Table13[[#This Row],[Product Name(RAW)]])</f>
        <v>Shegdi Coil</v>
      </c>
      <c r="G121" s="3" t="str">
        <f>TEXT(Table13[[#This Row],[Date]],"dddd")</f>
        <v>Saturday</v>
      </c>
      <c r="H121" s="3" t="str">
        <f t="shared" si="2"/>
        <v>Week 1</v>
      </c>
      <c r="I121" s="3" t="str">
        <f t="shared" si="3"/>
        <v>01-07</v>
      </c>
    </row>
    <row r="122" spans="1:9" ht="18.75" x14ac:dyDescent="0.3">
      <c r="A122" s="1">
        <v>46179</v>
      </c>
      <c r="B122" s="2" t="s">
        <v>70</v>
      </c>
      <c r="C122" s="2">
        <v>1</v>
      </c>
      <c r="D122" s="2">
        <v>80</v>
      </c>
      <c r="E122" s="2">
        <v>80</v>
      </c>
      <c r="F122" s="3" t="str">
        <f>PROPER(Table13[[#This Row],[Product Name(RAW)]])</f>
        <v>32A Cutout Hindusathan</v>
      </c>
      <c r="G122" s="3" t="str">
        <f>TEXT(Table13[[#This Row],[Date]],"dddd")</f>
        <v>Saturday</v>
      </c>
      <c r="H122" s="3" t="str">
        <f t="shared" si="2"/>
        <v>Week 1</v>
      </c>
      <c r="I122" s="3" t="str">
        <f t="shared" si="3"/>
        <v>01-07</v>
      </c>
    </row>
    <row r="123" spans="1:9" ht="18.75" x14ac:dyDescent="0.3">
      <c r="A123" s="1">
        <v>46179</v>
      </c>
      <c r="B123" s="2" t="s">
        <v>91</v>
      </c>
      <c r="C123" s="2">
        <v>1</v>
      </c>
      <c r="D123" s="2">
        <v>110</v>
      </c>
      <c r="E123" s="2">
        <v>110</v>
      </c>
      <c r="F123" s="3" t="str">
        <f>PROPER(Table13[[#This Row],[Product Name(RAW)]])</f>
        <v xml:space="preserve">18M Pancham </v>
      </c>
      <c r="G123" s="3" t="str">
        <f>TEXT(Table13[[#This Row],[Date]],"dddd")</f>
        <v>Saturday</v>
      </c>
      <c r="H123" s="3" t="str">
        <f t="shared" si="2"/>
        <v>Week 1</v>
      </c>
      <c r="I123" s="3" t="str">
        <f t="shared" si="3"/>
        <v>01-07</v>
      </c>
    </row>
    <row r="124" spans="1:9" ht="18.75" x14ac:dyDescent="0.3">
      <c r="A124" s="1">
        <v>46179</v>
      </c>
      <c r="B124" s="2" t="s">
        <v>269</v>
      </c>
      <c r="C124" s="2">
        <v>9</v>
      </c>
      <c r="D124" s="2">
        <v>15</v>
      </c>
      <c r="E124" s="2">
        <v>135</v>
      </c>
      <c r="F124" s="3" t="str">
        <f>PROPER(Table13[[#This Row],[Product Name(RAW)]])</f>
        <v xml:space="preserve">6A Switch </v>
      </c>
      <c r="G124" s="3" t="str">
        <f>TEXT(Table13[[#This Row],[Date]],"dddd")</f>
        <v>Saturday</v>
      </c>
      <c r="H124" s="3" t="str">
        <f t="shared" si="2"/>
        <v>Week 1</v>
      </c>
      <c r="I124" s="3" t="str">
        <f t="shared" si="3"/>
        <v>01-07</v>
      </c>
    </row>
    <row r="125" spans="1:9" ht="18.75" x14ac:dyDescent="0.3">
      <c r="A125" s="1">
        <v>46179</v>
      </c>
      <c r="B125" s="2" t="s">
        <v>92</v>
      </c>
      <c r="C125" s="2">
        <v>3</v>
      </c>
      <c r="D125" s="2">
        <v>35</v>
      </c>
      <c r="E125" s="2">
        <v>105</v>
      </c>
      <c r="F125" s="3" t="str">
        <f>PROPER(Table13[[#This Row],[Product Name(RAW)]])</f>
        <v xml:space="preserve">6A Plug </v>
      </c>
      <c r="G125" s="3" t="str">
        <f>TEXT(Table13[[#This Row],[Date]],"dddd")</f>
        <v>Saturday</v>
      </c>
      <c r="H125" s="3" t="str">
        <f t="shared" si="2"/>
        <v>Week 1</v>
      </c>
      <c r="I125" s="3" t="str">
        <f t="shared" si="3"/>
        <v>01-07</v>
      </c>
    </row>
    <row r="126" spans="1:9" ht="18.75" x14ac:dyDescent="0.3">
      <c r="A126" s="1">
        <v>46179</v>
      </c>
      <c r="B126" s="2" t="s">
        <v>93</v>
      </c>
      <c r="C126" s="2">
        <v>1</v>
      </c>
      <c r="D126" s="2">
        <v>110</v>
      </c>
      <c r="E126" s="2">
        <v>110</v>
      </c>
      <c r="F126" s="3" t="str">
        <f>PROPER(Table13[[#This Row],[Product Name(RAW)]])</f>
        <v>Mini Mcb Liwa</v>
      </c>
      <c r="G126" s="3" t="str">
        <f>TEXT(Table13[[#This Row],[Date]],"dddd")</f>
        <v>Saturday</v>
      </c>
      <c r="H126" s="3" t="str">
        <f t="shared" si="2"/>
        <v>Week 1</v>
      </c>
      <c r="I126" s="3" t="str">
        <f t="shared" si="3"/>
        <v>01-07</v>
      </c>
    </row>
    <row r="127" spans="1:9" ht="18.75" x14ac:dyDescent="0.3">
      <c r="A127" s="1">
        <v>46179</v>
      </c>
      <c r="B127" s="2" t="s">
        <v>94</v>
      </c>
      <c r="C127" s="2">
        <v>1</v>
      </c>
      <c r="D127" s="2">
        <v>80</v>
      </c>
      <c r="E127" s="2">
        <v>80</v>
      </c>
      <c r="F127" s="3" t="str">
        <f>PROPER(Table13[[#This Row],[Product Name(RAW)]])</f>
        <v>1M Regulator</v>
      </c>
      <c r="G127" s="3" t="str">
        <f>TEXT(Table13[[#This Row],[Date]],"dddd")</f>
        <v>Saturday</v>
      </c>
      <c r="H127" s="3" t="str">
        <f t="shared" si="2"/>
        <v>Week 1</v>
      </c>
      <c r="I127" s="3" t="str">
        <f t="shared" si="3"/>
        <v>01-07</v>
      </c>
    </row>
    <row r="128" spans="1:9" ht="18.75" x14ac:dyDescent="0.3">
      <c r="A128" s="1">
        <v>46179</v>
      </c>
      <c r="B128" s="2" t="s">
        <v>95</v>
      </c>
      <c r="C128" s="2">
        <v>1</v>
      </c>
      <c r="D128" s="2">
        <v>40</v>
      </c>
      <c r="E128" s="2">
        <v>40</v>
      </c>
      <c r="F128" s="3" t="str">
        <f>PROPER(Table13[[#This Row],[Product Name(RAW)]])</f>
        <v xml:space="preserve">Indicator </v>
      </c>
      <c r="G128" s="3" t="str">
        <f>TEXT(Table13[[#This Row],[Date]],"dddd")</f>
        <v>Saturday</v>
      </c>
      <c r="H128" s="3" t="str">
        <f t="shared" si="2"/>
        <v>Week 1</v>
      </c>
      <c r="I128" s="3" t="str">
        <f t="shared" si="3"/>
        <v>01-07</v>
      </c>
    </row>
    <row r="129" spans="1:9" ht="18.75" x14ac:dyDescent="0.3">
      <c r="A129" s="1">
        <v>46179</v>
      </c>
      <c r="B129" s="2" t="s">
        <v>96</v>
      </c>
      <c r="C129" s="2">
        <v>2</v>
      </c>
      <c r="D129" s="2">
        <v>20</v>
      </c>
      <c r="E129" s="2">
        <v>40</v>
      </c>
      <c r="F129" s="3" t="str">
        <f>PROPER(Table13[[#This Row],[Product Name(RAW)]])</f>
        <v xml:space="preserve">1Mm Rr </v>
      </c>
      <c r="G129" s="3" t="str">
        <f>TEXT(Table13[[#This Row],[Date]],"dddd")</f>
        <v>Saturday</v>
      </c>
      <c r="H129" s="3" t="str">
        <f t="shared" si="2"/>
        <v>Week 1</v>
      </c>
      <c r="I129" s="3" t="str">
        <f t="shared" si="3"/>
        <v>01-07</v>
      </c>
    </row>
    <row r="130" spans="1:9" ht="18.75" x14ac:dyDescent="0.3">
      <c r="A130" s="1">
        <v>46179</v>
      </c>
      <c r="B130" s="2" t="s">
        <v>82</v>
      </c>
      <c r="C130" s="2">
        <v>29</v>
      </c>
      <c r="D130" s="2">
        <v>15</v>
      </c>
      <c r="E130" s="2">
        <v>435</v>
      </c>
      <c r="F130" s="3" t="str">
        <f>PROPER(Table13[[#This Row],[Product Name(RAW)]])</f>
        <v>4Mm Ss Wire</v>
      </c>
      <c r="G130" s="3" t="str">
        <f>TEXT(Table13[[#This Row],[Date]],"dddd")</f>
        <v>Saturday</v>
      </c>
      <c r="H130" s="3" t="str">
        <f t="shared" ref="H130:H193" si="4">"Week "&amp;ROUNDUP(DAY(A130)/7,0)</f>
        <v>Week 1</v>
      </c>
      <c r="I130" s="3" t="str">
        <f t="shared" ref="I130:I193" si="5">IF(DAY(A130)&lt;=7,"01-07",
IF(DAY(A130)&lt;=14,"08-14",
IF(DAY(A130)&lt;=21,"15-21",
IF(DAY(A130)&lt;=28,"22-28","29-30"))))</f>
        <v>01-07</v>
      </c>
    </row>
    <row r="131" spans="1:9" ht="18.75" x14ac:dyDescent="0.3">
      <c r="A131" s="1">
        <v>46179</v>
      </c>
      <c r="B131" s="2" t="s">
        <v>269</v>
      </c>
      <c r="C131" s="2">
        <v>6</v>
      </c>
      <c r="D131" s="2">
        <v>15</v>
      </c>
      <c r="E131" s="2">
        <v>90</v>
      </c>
      <c r="F131" s="3" t="str">
        <f>PROPER(Table13[[#This Row],[Product Name(RAW)]])</f>
        <v xml:space="preserve">6A Switch </v>
      </c>
      <c r="G131" s="3" t="str">
        <f>TEXT(Table13[[#This Row],[Date]],"dddd")</f>
        <v>Saturday</v>
      </c>
      <c r="H131" s="3" t="str">
        <f t="shared" si="4"/>
        <v>Week 1</v>
      </c>
      <c r="I131" s="3" t="str">
        <f t="shared" si="5"/>
        <v>01-07</v>
      </c>
    </row>
    <row r="132" spans="1:9" ht="18.75" x14ac:dyDescent="0.3">
      <c r="A132" s="1">
        <v>46179</v>
      </c>
      <c r="B132" s="2" t="s">
        <v>97</v>
      </c>
      <c r="C132" s="2">
        <v>2</v>
      </c>
      <c r="D132" s="2">
        <v>15</v>
      </c>
      <c r="E132" s="2">
        <v>30</v>
      </c>
      <c r="F132" s="3" t="str">
        <f>PROPER(Table13[[#This Row],[Product Name(RAW)]])</f>
        <v xml:space="preserve">Sada Switch </v>
      </c>
      <c r="G132" s="3" t="str">
        <f>TEXT(Table13[[#This Row],[Date]],"dddd")</f>
        <v>Saturday</v>
      </c>
      <c r="H132" s="3" t="str">
        <f t="shared" si="4"/>
        <v>Week 1</v>
      </c>
      <c r="I132" s="3" t="str">
        <f t="shared" si="5"/>
        <v>01-07</v>
      </c>
    </row>
    <row r="133" spans="1:9" ht="18.75" x14ac:dyDescent="0.3">
      <c r="A133" s="1">
        <v>46179</v>
      </c>
      <c r="B133" s="2" t="s">
        <v>98</v>
      </c>
      <c r="C133" s="2">
        <v>1</v>
      </c>
      <c r="D133" s="2">
        <v>20</v>
      </c>
      <c r="E133" s="2">
        <v>20</v>
      </c>
      <c r="F133" s="3" t="str">
        <f>PROPER(Table13[[#This Row],[Product Name(RAW)]])</f>
        <v xml:space="preserve">Male Female </v>
      </c>
      <c r="G133" s="3" t="str">
        <f>TEXT(Table13[[#This Row],[Date]],"dddd")</f>
        <v>Saturday</v>
      </c>
      <c r="H133" s="3" t="str">
        <f t="shared" si="4"/>
        <v>Week 1</v>
      </c>
      <c r="I133" s="3" t="str">
        <f t="shared" si="5"/>
        <v>01-07</v>
      </c>
    </row>
    <row r="134" spans="1:9" ht="18.75" x14ac:dyDescent="0.3">
      <c r="A134" s="1">
        <v>46180</v>
      </c>
      <c r="B134" s="2" t="s">
        <v>99</v>
      </c>
      <c r="C134" s="2">
        <v>2</v>
      </c>
      <c r="D134" s="2">
        <v>110</v>
      </c>
      <c r="E134" s="2">
        <v>220</v>
      </c>
      <c r="F134" s="3" t="str">
        <f>PROPER(Table13[[#This Row],[Product Name(RAW)]])</f>
        <v xml:space="preserve">18 M Pancham </v>
      </c>
      <c r="G134" s="3" t="str">
        <f>TEXT(Table13[[#This Row],[Date]],"dddd")</f>
        <v>Sunday</v>
      </c>
      <c r="H134" s="3" t="str">
        <f t="shared" si="4"/>
        <v>Week 1</v>
      </c>
      <c r="I134" s="3" t="str">
        <f t="shared" si="5"/>
        <v>01-07</v>
      </c>
    </row>
    <row r="135" spans="1:9" ht="18.75" x14ac:dyDescent="0.3">
      <c r="A135" s="1">
        <v>46180</v>
      </c>
      <c r="B135" s="2" t="s">
        <v>102</v>
      </c>
      <c r="C135" s="2">
        <v>1</v>
      </c>
      <c r="D135" s="2">
        <v>60</v>
      </c>
      <c r="E135" s="2">
        <v>60</v>
      </c>
      <c r="F135" s="3" t="str">
        <f>PROPER(Table13[[#This Row],[Product Name(RAW)]])</f>
        <v xml:space="preserve">6 M Pancham </v>
      </c>
      <c r="G135" s="3" t="str">
        <f>TEXT(Table13[[#This Row],[Date]],"dddd")</f>
        <v>Sunday</v>
      </c>
      <c r="H135" s="3" t="str">
        <f t="shared" si="4"/>
        <v>Week 1</v>
      </c>
      <c r="I135" s="3" t="str">
        <f t="shared" si="5"/>
        <v>01-07</v>
      </c>
    </row>
    <row r="136" spans="1:9" ht="18.75" x14ac:dyDescent="0.3">
      <c r="A136" s="1">
        <v>46180</v>
      </c>
      <c r="B136" s="2" t="s">
        <v>269</v>
      </c>
      <c r="C136" s="2">
        <v>15</v>
      </c>
      <c r="D136" s="2">
        <v>15</v>
      </c>
      <c r="E136" s="2">
        <v>225</v>
      </c>
      <c r="F136" s="3" t="str">
        <f>PROPER(Table13[[#This Row],[Product Name(RAW)]])</f>
        <v xml:space="preserve">6A Switch </v>
      </c>
      <c r="G136" s="3" t="str">
        <f>TEXT(Table13[[#This Row],[Date]],"dddd")</f>
        <v>Sunday</v>
      </c>
      <c r="H136" s="3" t="str">
        <f t="shared" si="4"/>
        <v>Week 1</v>
      </c>
      <c r="I136" s="3" t="str">
        <f t="shared" si="5"/>
        <v>01-07</v>
      </c>
    </row>
    <row r="137" spans="1:9" ht="18.75" x14ac:dyDescent="0.3">
      <c r="A137" s="1">
        <v>46180</v>
      </c>
      <c r="B137" s="2" t="s">
        <v>28</v>
      </c>
      <c r="C137" s="2">
        <v>7</v>
      </c>
      <c r="D137" s="2">
        <v>35</v>
      </c>
      <c r="E137" s="2">
        <v>245</v>
      </c>
      <c r="F137" s="3" t="str">
        <f>PROPER(Table13[[#This Row],[Product Name(RAW)]])</f>
        <v xml:space="preserve">6A Plug </v>
      </c>
      <c r="G137" s="3" t="str">
        <f>TEXT(Table13[[#This Row],[Date]],"dddd")</f>
        <v>Sunday</v>
      </c>
      <c r="H137" s="3" t="str">
        <f t="shared" si="4"/>
        <v>Week 1</v>
      </c>
      <c r="I137" s="3" t="str">
        <f t="shared" si="5"/>
        <v>01-07</v>
      </c>
    </row>
    <row r="138" spans="1:9" ht="18.75" x14ac:dyDescent="0.3">
      <c r="A138" s="1">
        <v>46180</v>
      </c>
      <c r="B138" s="2" t="s">
        <v>94</v>
      </c>
      <c r="C138" s="2">
        <v>2</v>
      </c>
      <c r="D138" s="2">
        <v>80</v>
      </c>
      <c r="E138" s="2">
        <v>160</v>
      </c>
      <c r="F138" s="3" t="str">
        <f>PROPER(Table13[[#This Row],[Product Name(RAW)]])</f>
        <v>1M Regulator</v>
      </c>
      <c r="G138" s="3" t="str">
        <f>TEXT(Table13[[#This Row],[Date]],"dddd")</f>
        <v>Sunday</v>
      </c>
      <c r="H138" s="3" t="str">
        <f t="shared" si="4"/>
        <v>Week 1</v>
      </c>
      <c r="I138" s="3" t="str">
        <f t="shared" si="5"/>
        <v>01-07</v>
      </c>
    </row>
    <row r="139" spans="1:9" ht="18.75" x14ac:dyDescent="0.3">
      <c r="A139" s="1">
        <v>46180</v>
      </c>
      <c r="B139" s="2" t="s">
        <v>95</v>
      </c>
      <c r="C139" s="2">
        <v>2</v>
      </c>
      <c r="D139" s="2">
        <v>35</v>
      </c>
      <c r="E139" s="2">
        <v>70</v>
      </c>
      <c r="F139" s="3" t="str">
        <f>PROPER(Table13[[#This Row],[Product Name(RAW)]])</f>
        <v xml:space="preserve">Indicator </v>
      </c>
      <c r="G139" s="3" t="str">
        <f>TEXT(Table13[[#This Row],[Date]],"dddd")</f>
        <v>Sunday</v>
      </c>
      <c r="H139" s="3" t="str">
        <f t="shared" si="4"/>
        <v>Week 1</v>
      </c>
      <c r="I139" s="3" t="str">
        <f t="shared" si="5"/>
        <v>01-07</v>
      </c>
    </row>
    <row r="140" spans="1:9" ht="18.75" x14ac:dyDescent="0.3">
      <c r="A140" s="1">
        <v>46180</v>
      </c>
      <c r="B140" s="2" t="s">
        <v>299</v>
      </c>
      <c r="C140" s="2">
        <v>5</v>
      </c>
      <c r="D140" s="2">
        <v>10</v>
      </c>
      <c r="E140" s="2">
        <v>50</v>
      </c>
      <c r="F140" s="3" t="str">
        <f>PROPER(Table13[[#This Row],[Product Name(RAW)]])</f>
        <v xml:space="preserve"> Plate </v>
      </c>
      <c r="G140" s="3" t="str">
        <f>TEXT(Table13[[#This Row],[Date]],"dddd")</f>
        <v>Sunday</v>
      </c>
      <c r="H140" s="3" t="str">
        <f t="shared" si="4"/>
        <v>Week 1</v>
      </c>
      <c r="I140" s="3" t="str">
        <f t="shared" si="5"/>
        <v>01-07</v>
      </c>
    </row>
    <row r="141" spans="1:9" ht="18.75" x14ac:dyDescent="0.3">
      <c r="A141" s="1">
        <v>46180</v>
      </c>
      <c r="B141" s="2" t="s">
        <v>100</v>
      </c>
      <c r="C141" s="2">
        <v>1</v>
      </c>
      <c r="D141" s="2">
        <v>1750</v>
      </c>
      <c r="E141" s="2">
        <v>1750</v>
      </c>
      <c r="F141" s="3" t="str">
        <f>PROPER(Table13[[#This Row],[Product Name(RAW)]])</f>
        <v xml:space="preserve">Ecolink Fan </v>
      </c>
      <c r="G141" s="3" t="str">
        <f>TEXT(Table13[[#This Row],[Date]],"dddd")</f>
        <v>Sunday</v>
      </c>
      <c r="H141" s="3" t="str">
        <f t="shared" si="4"/>
        <v>Week 1</v>
      </c>
      <c r="I141" s="3" t="str">
        <f t="shared" si="5"/>
        <v>01-07</v>
      </c>
    </row>
    <row r="142" spans="1:9" ht="18.75" x14ac:dyDescent="0.3">
      <c r="A142" s="1">
        <v>46180</v>
      </c>
      <c r="B142" s="2" t="s">
        <v>7</v>
      </c>
      <c r="C142" s="2">
        <v>2</v>
      </c>
      <c r="D142" s="2">
        <v>900</v>
      </c>
      <c r="E142" s="2">
        <v>1800</v>
      </c>
      <c r="F142" s="3" t="str">
        <f>PROPER(Table13[[#This Row],[Product Name(RAW)]])</f>
        <v xml:space="preserve">2.5 Mm Ss Wire </v>
      </c>
      <c r="G142" s="3" t="str">
        <f>TEXT(Table13[[#This Row],[Date]],"dddd")</f>
        <v>Sunday</v>
      </c>
      <c r="H142" s="3" t="str">
        <f t="shared" si="4"/>
        <v>Week 1</v>
      </c>
      <c r="I142" s="3" t="str">
        <f t="shared" si="5"/>
        <v>01-07</v>
      </c>
    </row>
    <row r="143" spans="1:9" ht="18.75" x14ac:dyDescent="0.3">
      <c r="A143" s="1">
        <v>46180</v>
      </c>
      <c r="B143" s="2" t="s">
        <v>67</v>
      </c>
      <c r="C143" s="2">
        <v>2</v>
      </c>
      <c r="D143" s="2">
        <v>70</v>
      </c>
      <c r="E143" s="2">
        <v>140</v>
      </c>
      <c r="F143" s="3" t="str">
        <f>PROPER(Table13[[#This Row],[Product Name(RAW)]])</f>
        <v xml:space="preserve">16A Top </v>
      </c>
      <c r="G143" s="3" t="str">
        <f>TEXT(Table13[[#This Row],[Date]],"dddd")</f>
        <v>Sunday</v>
      </c>
      <c r="H143" s="3" t="str">
        <f t="shared" si="4"/>
        <v>Week 1</v>
      </c>
      <c r="I143" s="3" t="str">
        <f t="shared" si="5"/>
        <v>01-07</v>
      </c>
    </row>
    <row r="144" spans="1:9" ht="18.75" x14ac:dyDescent="0.3">
      <c r="A144" s="1">
        <v>46180</v>
      </c>
      <c r="B144" s="2" t="s">
        <v>50</v>
      </c>
      <c r="C144" s="2">
        <v>5</v>
      </c>
      <c r="D144" s="2">
        <v>40</v>
      </c>
      <c r="E144" s="2">
        <v>200</v>
      </c>
      <c r="F144" s="3" t="str">
        <f>PROPER(Table13[[#This Row],[Product Name(RAW)]])</f>
        <v xml:space="preserve">2.5 Mm Rr Cable </v>
      </c>
      <c r="G144" s="3" t="str">
        <f>TEXT(Table13[[#This Row],[Date]],"dddd")</f>
        <v>Sunday</v>
      </c>
      <c r="H144" s="3" t="str">
        <f t="shared" si="4"/>
        <v>Week 1</v>
      </c>
      <c r="I144" s="3" t="str">
        <f t="shared" si="5"/>
        <v>01-07</v>
      </c>
    </row>
    <row r="145" spans="1:9" ht="18.75" x14ac:dyDescent="0.3">
      <c r="A145" s="1">
        <v>46180</v>
      </c>
      <c r="B145" s="2" t="s">
        <v>101</v>
      </c>
      <c r="C145" s="2">
        <v>1</v>
      </c>
      <c r="D145" s="2">
        <v>80</v>
      </c>
      <c r="E145" s="2">
        <v>80</v>
      </c>
      <c r="F145" s="3" t="str">
        <f>PROPER(Table13[[#This Row],[Product Name(RAW)]])</f>
        <v xml:space="preserve">12 W Light </v>
      </c>
      <c r="G145" s="3" t="str">
        <f>TEXT(Table13[[#This Row],[Date]],"dddd")</f>
        <v>Sunday</v>
      </c>
      <c r="H145" s="3" t="str">
        <f t="shared" si="4"/>
        <v>Week 1</v>
      </c>
      <c r="I145" s="3" t="str">
        <f t="shared" si="5"/>
        <v>01-07</v>
      </c>
    </row>
    <row r="146" spans="1:9" ht="18.75" x14ac:dyDescent="0.3">
      <c r="A146" s="1">
        <v>46180</v>
      </c>
      <c r="B146" s="2" t="s">
        <v>62</v>
      </c>
      <c r="C146" s="2">
        <v>1</v>
      </c>
      <c r="D146" s="2">
        <v>80</v>
      </c>
      <c r="E146" s="2">
        <v>80</v>
      </c>
      <c r="F146" s="3" t="str">
        <f>PROPER(Table13[[#This Row],[Product Name(RAW)]])</f>
        <v xml:space="preserve">16A Plug Jiva </v>
      </c>
      <c r="G146" s="3" t="str">
        <f>TEXT(Table13[[#This Row],[Date]],"dddd")</f>
        <v>Sunday</v>
      </c>
      <c r="H146" s="3" t="str">
        <f t="shared" si="4"/>
        <v>Week 1</v>
      </c>
      <c r="I146" s="3" t="str">
        <f t="shared" si="5"/>
        <v>01-07</v>
      </c>
    </row>
    <row r="147" spans="1:9" ht="18.75" x14ac:dyDescent="0.3">
      <c r="A147" s="1">
        <v>46180</v>
      </c>
      <c r="B147" s="2" t="s">
        <v>24</v>
      </c>
      <c r="C147" s="2">
        <v>1</v>
      </c>
      <c r="D147" s="2">
        <v>15</v>
      </c>
      <c r="E147" s="2">
        <v>15</v>
      </c>
      <c r="F147" s="3" t="str">
        <f>PROPER(Table13[[#This Row],[Product Name(RAW)]])</f>
        <v xml:space="preserve">Sada Holder </v>
      </c>
      <c r="G147" s="3" t="str">
        <f>TEXT(Table13[[#This Row],[Date]],"dddd")</f>
        <v>Sunday</v>
      </c>
      <c r="H147" s="3" t="str">
        <f t="shared" si="4"/>
        <v>Week 1</v>
      </c>
      <c r="I147" s="3" t="str">
        <f t="shared" si="5"/>
        <v>01-07</v>
      </c>
    </row>
    <row r="148" spans="1:9" ht="18.75" x14ac:dyDescent="0.3">
      <c r="A148" s="1">
        <v>46180</v>
      </c>
      <c r="B148" s="2" t="s">
        <v>87</v>
      </c>
      <c r="C148" s="2">
        <v>1</v>
      </c>
      <c r="D148" s="2">
        <v>10</v>
      </c>
      <c r="E148" s="2">
        <v>10</v>
      </c>
      <c r="F148" s="3" t="str">
        <f>PROPER(Table13[[#This Row],[Product Name(RAW)]])</f>
        <v xml:space="preserve">2 Pin </v>
      </c>
      <c r="G148" s="3" t="str">
        <f>TEXT(Table13[[#This Row],[Date]],"dddd")</f>
        <v>Sunday</v>
      </c>
      <c r="H148" s="3" t="str">
        <f t="shared" si="4"/>
        <v>Week 1</v>
      </c>
      <c r="I148" s="3" t="str">
        <f t="shared" si="5"/>
        <v>01-07</v>
      </c>
    </row>
    <row r="149" spans="1:9" ht="18.75" x14ac:dyDescent="0.3">
      <c r="A149" s="1">
        <v>46180</v>
      </c>
      <c r="B149" s="2" t="s">
        <v>57</v>
      </c>
      <c r="C149" s="2">
        <v>8</v>
      </c>
      <c r="D149" s="2">
        <v>8</v>
      </c>
      <c r="E149" s="2">
        <v>64</v>
      </c>
      <c r="F149" s="3" t="str">
        <f>PROPER(Table13[[#This Row],[Product Name(RAW)]])</f>
        <v xml:space="preserve">Flexible Wire </v>
      </c>
      <c r="G149" s="3" t="str">
        <f>TEXT(Table13[[#This Row],[Date]],"dddd")</f>
        <v>Sunday</v>
      </c>
      <c r="H149" s="3" t="str">
        <f t="shared" si="4"/>
        <v>Week 1</v>
      </c>
      <c r="I149" s="3" t="str">
        <f t="shared" si="5"/>
        <v>01-07</v>
      </c>
    </row>
    <row r="150" spans="1:9" ht="18.75" x14ac:dyDescent="0.3">
      <c r="A150" s="1">
        <v>46180</v>
      </c>
      <c r="B150" s="2" t="s">
        <v>31</v>
      </c>
      <c r="C150" s="2">
        <v>10</v>
      </c>
      <c r="D150" s="2">
        <v>10</v>
      </c>
      <c r="E150" s="2">
        <v>100</v>
      </c>
      <c r="F150" s="3" t="str">
        <f>PROPER(Table13[[#This Row],[Product Name(RAW)]])</f>
        <v xml:space="preserve">Tep </v>
      </c>
      <c r="G150" s="3" t="str">
        <f>TEXT(Table13[[#This Row],[Date]],"dddd")</f>
        <v>Sunday</v>
      </c>
      <c r="H150" s="3" t="str">
        <f t="shared" si="4"/>
        <v>Week 1</v>
      </c>
      <c r="I150" s="3" t="str">
        <f t="shared" si="5"/>
        <v>01-07</v>
      </c>
    </row>
    <row r="151" spans="1:9" ht="18.75" x14ac:dyDescent="0.3">
      <c r="A151" s="1">
        <v>46180</v>
      </c>
      <c r="B151" s="2" t="s">
        <v>22</v>
      </c>
      <c r="C151" s="2">
        <v>2</v>
      </c>
      <c r="D151" s="2">
        <v>25</v>
      </c>
      <c r="E151" s="2">
        <v>50</v>
      </c>
      <c r="F151" s="3" t="str">
        <f>PROPER(Table13[[#This Row],[Product Name(RAW)]])</f>
        <v xml:space="preserve">2 Core Wire </v>
      </c>
      <c r="G151" s="3" t="str">
        <f>TEXT(Table13[[#This Row],[Date]],"dddd")</f>
        <v>Sunday</v>
      </c>
      <c r="H151" s="3" t="str">
        <f t="shared" si="4"/>
        <v>Week 1</v>
      </c>
      <c r="I151" s="3" t="str">
        <f t="shared" si="5"/>
        <v>01-07</v>
      </c>
    </row>
    <row r="152" spans="1:9" ht="18.75" x14ac:dyDescent="0.3">
      <c r="A152" s="1">
        <v>46180</v>
      </c>
      <c r="B152" s="2" t="s">
        <v>18</v>
      </c>
      <c r="C152" s="2">
        <v>1</v>
      </c>
      <c r="D152" s="2">
        <v>50</v>
      </c>
      <c r="E152" s="2">
        <v>50</v>
      </c>
      <c r="F152" s="3" t="str">
        <f>PROPER(Table13[[#This Row],[Product Name(RAW)]])</f>
        <v xml:space="preserve">6A Top Pin Cona </v>
      </c>
      <c r="G152" s="3" t="str">
        <f>TEXT(Table13[[#This Row],[Date]],"dddd")</f>
        <v>Sunday</v>
      </c>
      <c r="H152" s="3" t="str">
        <f t="shared" si="4"/>
        <v>Week 1</v>
      </c>
      <c r="I152" s="3" t="str">
        <f t="shared" si="5"/>
        <v>01-07</v>
      </c>
    </row>
    <row r="153" spans="1:9" ht="18.75" x14ac:dyDescent="0.3">
      <c r="A153" s="1">
        <v>46180</v>
      </c>
      <c r="B153" s="2" t="s">
        <v>103</v>
      </c>
      <c r="C153" s="2">
        <v>3</v>
      </c>
      <c r="D153" s="2">
        <v>42</v>
      </c>
      <c r="E153" s="2">
        <v>126</v>
      </c>
      <c r="F153" s="3" t="str">
        <f>PROPER(Table13[[#This Row],[Product Name(RAW)]])</f>
        <v xml:space="preserve">2 Way Switch </v>
      </c>
      <c r="G153" s="3" t="str">
        <f>TEXT(Table13[[#This Row],[Date]],"dddd")</f>
        <v>Sunday</v>
      </c>
      <c r="H153" s="3" t="str">
        <f t="shared" si="4"/>
        <v>Week 1</v>
      </c>
      <c r="I153" s="3" t="str">
        <f t="shared" si="5"/>
        <v>01-07</v>
      </c>
    </row>
    <row r="154" spans="1:9" ht="18.75" x14ac:dyDescent="0.3">
      <c r="A154" s="1">
        <v>46180</v>
      </c>
      <c r="B154" s="2" t="s">
        <v>104</v>
      </c>
      <c r="C154" s="2">
        <v>1</v>
      </c>
      <c r="D154" s="2">
        <v>45</v>
      </c>
      <c r="E154" s="2">
        <v>45</v>
      </c>
      <c r="F154" s="3" t="str">
        <f>PROPER(Table13[[#This Row],[Product Name(RAW)]])</f>
        <v xml:space="preserve">1M Bell Switch </v>
      </c>
      <c r="G154" s="3" t="str">
        <f>TEXT(Table13[[#This Row],[Date]],"dddd")</f>
        <v>Sunday</v>
      </c>
      <c r="H154" s="3" t="str">
        <f t="shared" si="4"/>
        <v>Week 1</v>
      </c>
      <c r="I154" s="3" t="str">
        <f t="shared" si="5"/>
        <v>01-07</v>
      </c>
    </row>
    <row r="155" spans="1:9" ht="18.75" x14ac:dyDescent="0.3">
      <c r="A155" s="1">
        <v>46180</v>
      </c>
      <c r="B155" s="2" t="s">
        <v>105</v>
      </c>
      <c r="C155" s="2">
        <v>1</v>
      </c>
      <c r="D155" s="2">
        <v>130</v>
      </c>
      <c r="E155" s="2">
        <v>130</v>
      </c>
      <c r="F155" s="3" t="str">
        <f>PROPER(Table13[[#This Row],[Product Name(RAW)]])</f>
        <v xml:space="preserve">Bell </v>
      </c>
      <c r="G155" s="3" t="str">
        <f>TEXT(Table13[[#This Row],[Date]],"dddd")</f>
        <v>Sunday</v>
      </c>
      <c r="H155" s="3" t="str">
        <f t="shared" si="4"/>
        <v>Week 1</v>
      </c>
      <c r="I155" s="3" t="str">
        <f t="shared" si="5"/>
        <v>01-07</v>
      </c>
    </row>
    <row r="156" spans="1:9" ht="18.75" x14ac:dyDescent="0.3">
      <c r="A156" s="1">
        <v>46180</v>
      </c>
      <c r="B156" s="2" t="s">
        <v>269</v>
      </c>
      <c r="C156" s="2">
        <v>1</v>
      </c>
      <c r="D156" s="2">
        <v>15</v>
      </c>
      <c r="E156" s="2">
        <v>15</v>
      </c>
      <c r="F156" s="3" t="str">
        <f>PROPER(Table13[[#This Row],[Product Name(RAW)]])</f>
        <v xml:space="preserve">6A Switch </v>
      </c>
      <c r="G156" s="3" t="str">
        <f>TEXT(Table13[[#This Row],[Date]],"dddd")</f>
        <v>Sunday</v>
      </c>
      <c r="H156" s="3" t="str">
        <f t="shared" si="4"/>
        <v>Week 1</v>
      </c>
      <c r="I156" s="3" t="str">
        <f t="shared" si="5"/>
        <v>01-07</v>
      </c>
    </row>
    <row r="157" spans="1:9" ht="18.75" x14ac:dyDescent="0.3">
      <c r="A157" s="1">
        <v>46180</v>
      </c>
      <c r="B157" s="2" t="s">
        <v>106</v>
      </c>
      <c r="C157" s="2">
        <v>1</v>
      </c>
      <c r="D157" s="2">
        <v>40</v>
      </c>
      <c r="E157" s="2">
        <v>40</v>
      </c>
      <c r="F157" s="3" t="str">
        <f>PROPER(Table13[[#This Row],[Product Name(RAW)]])</f>
        <v xml:space="preserve">3 M Panchan </v>
      </c>
      <c r="G157" s="3" t="str">
        <f>TEXT(Table13[[#This Row],[Date]],"dddd")</f>
        <v>Sunday</v>
      </c>
      <c r="H157" s="3" t="str">
        <f t="shared" si="4"/>
        <v>Week 1</v>
      </c>
      <c r="I157" s="3" t="str">
        <f t="shared" si="5"/>
        <v>01-07</v>
      </c>
    </row>
    <row r="158" spans="1:9" ht="18.75" x14ac:dyDescent="0.3">
      <c r="A158" s="1">
        <v>46180</v>
      </c>
      <c r="B158" s="2" t="s">
        <v>107</v>
      </c>
      <c r="C158" s="2">
        <v>2</v>
      </c>
      <c r="D158" s="2">
        <v>14</v>
      </c>
      <c r="E158" s="2">
        <v>28</v>
      </c>
      <c r="F158" s="3" t="str">
        <f>PROPER(Table13[[#This Row],[Product Name(RAW)]])</f>
        <v xml:space="preserve">Sell </v>
      </c>
      <c r="G158" s="3" t="str">
        <f>TEXT(Table13[[#This Row],[Date]],"dddd")</f>
        <v>Sunday</v>
      </c>
      <c r="H158" s="3" t="str">
        <f t="shared" si="4"/>
        <v>Week 1</v>
      </c>
      <c r="I158" s="3" t="str">
        <f t="shared" si="5"/>
        <v>01-07</v>
      </c>
    </row>
    <row r="159" spans="1:9" ht="18.75" x14ac:dyDescent="0.3">
      <c r="A159" s="1">
        <v>46180</v>
      </c>
      <c r="B159" s="2" t="s">
        <v>108</v>
      </c>
      <c r="C159" s="2">
        <v>2</v>
      </c>
      <c r="D159" s="2">
        <v>20</v>
      </c>
      <c r="E159" s="2">
        <v>40</v>
      </c>
      <c r="F159" s="3" t="str">
        <f>PROPER(Table13[[#This Row],[Product Name(RAW)]])</f>
        <v xml:space="preserve">M Sell </v>
      </c>
      <c r="G159" s="3" t="str">
        <f>TEXT(Table13[[#This Row],[Date]],"dddd")</f>
        <v>Sunday</v>
      </c>
      <c r="H159" s="3" t="str">
        <f t="shared" si="4"/>
        <v>Week 1</v>
      </c>
      <c r="I159" s="3" t="str">
        <f t="shared" si="5"/>
        <v>01-07</v>
      </c>
    </row>
    <row r="160" spans="1:9" ht="18.75" x14ac:dyDescent="0.3">
      <c r="A160" s="1">
        <v>46180</v>
      </c>
      <c r="B160" s="2" t="s">
        <v>109</v>
      </c>
      <c r="C160" s="2">
        <v>2</v>
      </c>
      <c r="D160" s="2">
        <v>30</v>
      </c>
      <c r="E160" s="2">
        <v>60</v>
      </c>
      <c r="F160" s="3" t="str">
        <f>PROPER(Table13[[#This Row],[Product Name(RAW)]])</f>
        <v xml:space="preserve">A Holder </v>
      </c>
      <c r="G160" s="3" t="str">
        <f>TEXT(Table13[[#This Row],[Date]],"dddd")</f>
        <v>Sunday</v>
      </c>
      <c r="H160" s="3" t="str">
        <f t="shared" si="4"/>
        <v>Week 1</v>
      </c>
      <c r="I160" s="3" t="str">
        <f t="shared" si="5"/>
        <v>01-07</v>
      </c>
    </row>
    <row r="161" spans="1:9" ht="18.75" x14ac:dyDescent="0.3">
      <c r="A161" s="1">
        <v>46180</v>
      </c>
      <c r="B161" s="2" t="s">
        <v>93</v>
      </c>
      <c r="C161" s="2">
        <v>2</v>
      </c>
      <c r="D161" s="2">
        <v>100</v>
      </c>
      <c r="E161" s="2">
        <v>200</v>
      </c>
      <c r="F161" s="3" t="str">
        <f>PROPER(Table13[[#This Row],[Product Name(RAW)]])</f>
        <v>Mini Mcb Liwa</v>
      </c>
      <c r="G161" s="3" t="str">
        <f>TEXT(Table13[[#This Row],[Date]],"dddd")</f>
        <v>Sunday</v>
      </c>
      <c r="H161" s="3" t="str">
        <f t="shared" si="4"/>
        <v>Week 1</v>
      </c>
      <c r="I161" s="3" t="str">
        <f t="shared" si="5"/>
        <v>01-07</v>
      </c>
    </row>
    <row r="162" spans="1:9" ht="18.75" x14ac:dyDescent="0.3">
      <c r="A162" s="1">
        <v>46180</v>
      </c>
      <c r="B162" s="2" t="s">
        <v>110</v>
      </c>
      <c r="C162" s="2">
        <v>1</v>
      </c>
      <c r="D162" s="2">
        <v>50</v>
      </c>
      <c r="E162" s="2">
        <v>50</v>
      </c>
      <c r="F162" s="3" t="str">
        <f>PROPER(Table13[[#This Row],[Product Name(RAW)]])</f>
        <v xml:space="preserve">Casing Pati </v>
      </c>
      <c r="G162" s="3" t="str">
        <f>TEXT(Table13[[#This Row],[Date]],"dddd")</f>
        <v>Sunday</v>
      </c>
      <c r="H162" s="3" t="str">
        <f t="shared" si="4"/>
        <v>Week 1</v>
      </c>
      <c r="I162" s="3" t="str">
        <f t="shared" si="5"/>
        <v>01-07</v>
      </c>
    </row>
    <row r="163" spans="1:9" ht="18.75" x14ac:dyDescent="0.3">
      <c r="A163" s="1">
        <v>46180</v>
      </c>
      <c r="B163" s="2" t="s">
        <v>111</v>
      </c>
      <c r="C163" s="2">
        <v>1</v>
      </c>
      <c r="D163" s="2">
        <v>25</v>
      </c>
      <c r="E163" s="2">
        <v>25</v>
      </c>
      <c r="F163" s="3" t="str">
        <f>PROPER(Table13[[#This Row],[Product Name(RAW)]])</f>
        <v xml:space="preserve">Nita Coil </v>
      </c>
      <c r="G163" s="3" t="str">
        <f>TEXT(Table13[[#This Row],[Date]],"dddd")</f>
        <v>Sunday</v>
      </c>
      <c r="H163" s="3" t="str">
        <f t="shared" si="4"/>
        <v>Week 1</v>
      </c>
      <c r="I163" s="3" t="str">
        <f t="shared" si="5"/>
        <v>01-07</v>
      </c>
    </row>
    <row r="164" spans="1:9" ht="18.75" x14ac:dyDescent="0.3">
      <c r="A164" s="1">
        <v>46180</v>
      </c>
      <c r="B164" s="2" t="s">
        <v>56</v>
      </c>
      <c r="C164" s="2">
        <v>2</v>
      </c>
      <c r="D164" s="2">
        <v>160</v>
      </c>
      <c r="E164" s="2">
        <v>320</v>
      </c>
      <c r="F164" s="3" t="str">
        <f>PROPER(Table13[[#This Row],[Product Name(RAW)]])</f>
        <v xml:space="preserve">18 M Plate Jiva </v>
      </c>
      <c r="G164" s="3" t="str">
        <f>TEXT(Table13[[#This Row],[Date]],"dddd")</f>
        <v>Sunday</v>
      </c>
      <c r="H164" s="3" t="str">
        <f t="shared" si="4"/>
        <v>Week 1</v>
      </c>
      <c r="I164" s="3" t="str">
        <f t="shared" si="5"/>
        <v>01-07</v>
      </c>
    </row>
    <row r="165" spans="1:9" ht="18.75" x14ac:dyDescent="0.3">
      <c r="A165" s="1">
        <v>46180</v>
      </c>
      <c r="B165" s="2" t="s">
        <v>112</v>
      </c>
      <c r="C165" s="2">
        <v>2</v>
      </c>
      <c r="D165" s="2">
        <v>135</v>
      </c>
      <c r="E165" s="2">
        <v>270</v>
      </c>
      <c r="F165" s="3" t="str">
        <f>PROPER(Table13[[#This Row],[Product Name(RAW)]])</f>
        <v xml:space="preserve">12M Plate Jiva </v>
      </c>
      <c r="G165" s="3" t="str">
        <f>TEXT(Table13[[#This Row],[Date]],"dddd")</f>
        <v>Sunday</v>
      </c>
      <c r="H165" s="3" t="str">
        <f t="shared" si="4"/>
        <v>Week 1</v>
      </c>
      <c r="I165" s="3" t="str">
        <f t="shared" si="5"/>
        <v>01-07</v>
      </c>
    </row>
    <row r="166" spans="1:9" ht="18.75" x14ac:dyDescent="0.3">
      <c r="A166" s="1">
        <v>46180</v>
      </c>
      <c r="B166" s="2" t="s">
        <v>26</v>
      </c>
      <c r="C166" s="2">
        <v>2</v>
      </c>
      <c r="D166" s="2">
        <v>100</v>
      </c>
      <c r="E166" s="2">
        <v>200</v>
      </c>
      <c r="F166" s="3" t="str">
        <f>PROPER(Table13[[#This Row],[Product Name(RAW)]])</f>
        <v xml:space="preserve">8M Plate Jiva </v>
      </c>
      <c r="G166" s="3" t="str">
        <f>TEXT(Table13[[#This Row],[Date]],"dddd")</f>
        <v>Sunday</v>
      </c>
      <c r="H166" s="3" t="str">
        <f t="shared" si="4"/>
        <v>Week 1</v>
      </c>
      <c r="I166" s="3" t="str">
        <f t="shared" si="5"/>
        <v>01-07</v>
      </c>
    </row>
    <row r="167" spans="1:9" ht="18.75" x14ac:dyDescent="0.3">
      <c r="A167" s="1">
        <v>46180</v>
      </c>
      <c r="B167" s="2" t="s">
        <v>113</v>
      </c>
      <c r="C167" s="2">
        <v>4</v>
      </c>
      <c r="D167" s="2">
        <v>80</v>
      </c>
      <c r="E167" s="2">
        <v>320</v>
      </c>
      <c r="F167" s="3" t="str">
        <f>PROPER(Table13[[#This Row],[Product Name(RAW)]])</f>
        <v xml:space="preserve">6M Plate Jiva </v>
      </c>
      <c r="G167" s="3" t="str">
        <f>TEXT(Table13[[#This Row],[Date]],"dddd")</f>
        <v>Sunday</v>
      </c>
      <c r="H167" s="3" t="str">
        <f t="shared" si="4"/>
        <v>Week 1</v>
      </c>
      <c r="I167" s="3" t="str">
        <f t="shared" si="5"/>
        <v>01-07</v>
      </c>
    </row>
    <row r="168" spans="1:9" ht="18.75" x14ac:dyDescent="0.3">
      <c r="A168" s="1">
        <v>46180</v>
      </c>
      <c r="B168" s="2" t="s">
        <v>64</v>
      </c>
      <c r="C168" s="2">
        <v>2</v>
      </c>
      <c r="D168" s="2">
        <v>55</v>
      </c>
      <c r="E168" s="2">
        <v>110</v>
      </c>
      <c r="F168" s="3" t="str">
        <f>PROPER(Table13[[#This Row],[Product Name(RAW)]])</f>
        <v>4M Plate Jiva</v>
      </c>
      <c r="G168" s="3" t="str">
        <f>TEXT(Table13[[#This Row],[Date]],"dddd")</f>
        <v>Sunday</v>
      </c>
      <c r="H168" s="3" t="str">
        <f t="shared" si="4"/>
        <v>Week 1</v>
      </c>
      <c r="I168" s="3" t="str">
        <f t="shared" si="5"/>
        <v>01-07</v>
      </c>
    </row>
    <row r="169" spans="1:9" ht="18.75" x14ac:dyDescent="0.3">
      <c r="A169" s="1">
        <v>46180</v>
      </c>
      <c r="B169" s="2" t="s">
        <v>267</v>
      </c>
      <c r="C169" s="2">
        <v>70</v>
      </c>
      <c r="D169" s="2">
        <v>13</v>
      </c>
      <c r="E169" s="2">
        <v>910</v>
      </c>
      <c r="F169" s="3" t="str">
        <f>PROPER(Table13[[#This Row],[Product Name(RAW)]])</f>
        <v xml:space="preserve">6A Switch Jiva </v>
      </c>
      <c r="G169" s="3" t="str">
        <f>TEXT(Table13[[#This Row],[Date]],"dddd")</f>
        <v>Sunday</v>
      </c>
      <c r="H169" s="3" t="str">
        <f t="shared" si="4"/>
        <v>Week 1</v>
      </c>
      <c r="I169" s="3" t="str">
        <f t="shared" si="5"/>
        <v>01-07</v>
      </c>
    </row>
    <row r="170" spans="1:9" ht="18.75" x14ac:dyDescent="0.3">
      <c r="A170" s="1">
        <v>46180</v>
      </c>
      <c r="B170" s="2" t="s">
        <v>63</v>
      </c>
      <c r="C170" s="2">
        <v>30</v>
      </c>
      <c r="D170" s="2">
        <v>350</v>
      </c>
      <c r="E170" s="2">
        <v>1050</v>
      </c>
      <c r="F170" s="3" t="str">
        <f>PROPER(Table13[[#This Row],[Product Name(RAW)]])</f>
        <v xml:space="preserve">6A Plug Jiva </v>
      </c>
      <c r="G170" s="3" t="str">
        <f>TEXT(Table13[[#This Row],[Date]],"dddd")</f>
        <v>Sunday</v>
      </c>
      <c r="H170" s="3" t="str">
        <f t="shared" si="4"/>
        <v>Week 1</v>
      </c>
      <c r="I170" s="3" t="str">
        <f t="shared" si="5"/>
        <v>01-07</v>
      </c>
    </row>
    <row r="171" spans="1:9" ht="18.75" x14ac:dyDescent="0.3">
      <c r="A171" s="1">
        <v>46180</v>
      </c>
      <c r="B171" s="2" t="s">
        <v>271</v>
      </c>
      <c r="C171" s="2">
        <v>10</v>
      </c>
      <c r="D171" s="2">
        <v>46</v>
      </c>
      <c r="E171" s="2">
        <v>460</v>
      </c>
      <c r="F171" s="3" t="str">
        <f>PROPER(Table13[[#This Row],[Product Name(RAW)]])</f>
        <v xml:space="preserve">16A Switch </v>
      </c>
      <c r="G171" s="3" t="str">
        <f>TEXT(Table13[[#This Row],[Date]],"dddd")</f>
        <v>Sunday</v>
      </c>
      <c r="H171" s="3" t="str">
        <f t="shared" si="4"/>
        <v>Week 1</v>
      </c>
      <c r="I171" s="3" t="str">
        <f t="shared" si="5"/>
        <v>01-07</v>
      </c>
    </row>
    <row r="172" spans="1:9" ht="18.75" x14ac:dyDescent="0.3">
      <c r="A172" s="1">
        <v>46180</v>
      </c>
      <c r="B172" s="2" t="s">
        <v>62</v>
      </c>
      <c r="C172" s="2">
        <v>10</v>
      </c>
      <c r="D172" s="2">
        <v>75</v>
      </c>
      <c r="E172" s="2">
        <v>750</v>
      </c>
      <c r="F172" s="3" t="str">
        <f>PROPER(Table13[[#This Row],[Product Name(RAW)]])</f>
        <v xml:space="preserve">16A Plug Jiva </v>
      </c>
      <c r="G172" s="3" t="str">
        <f>TEXT(Table13[[#This Row],[Date]],"dddd")</f>
        <v>Sunday</v>
      </c>
      <c r="H172" s="3" t="str">
        <f t="shared" si="4"/>
        <v>Week 1</v>
      </c>
      <c r="I172" s="3" t="str">
        <f t="shared" si="5"/>
        <v>01-07</v>
      </c>
    </row>
    <row r="173" spans="1:9" ht="18.75" x14ac:dyDescent="0.3">
      <c r="A173" s="1">
        <v>46180</v>
      </c>
      <c r="B173" s="2" t="s">
        <v>114</v>
      </c>
      <c r="C173" s="2">
        <v>6</v>
      </c>
      <c r="D173" s="2">
        <v>190</v>
      </c>
      <c r="E173" s="2">
        <v>1140</v>
      </c>
      <c r="F173" s="3" t="str">
        <f>PROPER(Table13[[#This Row],[Product Name(RAW)]])</f>
        <v>Mini Mcb Jiva</v>
      </c>
      <c r="G173" s="3" t="str">
        <f>TEXT(Table13[[#This Row],[Date]],"dddd")</f>
        <v>Sunday</v>
      </c>
      <c r="H173" s="3" t="str">
        <f t="shared" si="4"/>
        <v>Week 1</v>
      </c>
      <c r="I173" s="3" t="str">
        <f t="shared" si="5"/>
        <v>01-07</v>
      </c>
    </row>
    <row r="174" spans="1:9" ht="18.75" x14ac:dyDescent="0.3">
      <c r="A174" s="1">
        <v>46180</v>
      </c>
      <c r="B174" s="2" t="s">
        <v>115</v>
      </c>
      <c r="C174" s="2">
        <v>2</v>
      </c>
      <c r="D174" s="2">
        <v>155</v>
      </c>
      <c r="E174" s="2">
        <v>310</v>
      </c>
      <c r="F174" s="3" t="str">
        <f>PROPER(Table13[[#This Row],[Product Name(RAW)]])</f>
        <v xml:space="preserve">1M Regulator </v>
      </c>
      <c r="G174" s="3" t="str">
        <f>TEXT(Table13[[#This Row],[Date]],"dddd")</f>
        <v>Sunday</v>
      </c>
      <c r="H174" s="3" t="str">
        <f t="shared" si="4"/>
        <v>Week 1</v>
      </c>
      <c r="I174" s="3" t="str">
        <f t="shared" si="5"/>
        <v>01-07</v>
      </c>
    </row>
    <row r="175" spans="1:9" ht="18.75" x14ac:dyDescent="0.3">
      <c r="A175" s="1">
        <v>46180</v>
      </c>
      <c r="B175" s="2" t="s">
        <v>95</v>
      </c>
      <c r="C175" s="2">
        <v>3</v>
      </c>
      <c r="D175" s="2">
        <v>40</v>
      </c>
      <c r="E175" s="2">
        <v>120</v>
      </c>
      <c r="F175" s="3" t="str">
        <f>PROPER(Table13[[#This Row],[Product Name(RAW)]])</f>
        <v xml:space="preserve">Indicator </v>
      </c>
      <c r="G175" s="3" t="str">
        <f>TEXT(Table13[[#This Row],[Date]],"dddd")</f>
        <v>Sunday</v>
      </c>
      <c r="H175" s="3" t="str">
        <f t="shared" si="4"/>
        <v>Week 1</v>
      </c>
      <c r="I175" s="3" t="str">
        <f t="shared" si="5"/>
        <v>01-07</v>
      </c>
    </row>
    <row r="176" spans="1:9" ht="18.75" x14ac:dyDescent="0.3">
      <c r="A176" s="1">
        <v>46180</v>
      </c>
      <c r="B176" s="2" t="s">
        <v>116</v>
      </c>
      <c r="C176" s="2">
        <v>6</v>
      </c>
      <c r="D176" s="2">
        <v>120</v>
      </c>
      <c r="E176" s="2">
        <v>720</v>
      </c>
      <c r="F176" s="3" t="str">
        <f>PROPER(Table13[[#This Row],[Product Name(RAW)]])</f>
        <v xml:space="preserve">Sp Mcb Legrand </v>
      </c>
      <c r="G176" s="3" t="str">
        <f>TEXT(Table13[[#This Row],[Date]],"dddd")</f>
        <v>Sunday</v>
      </c>
      <c r="H176" s="3" t="str">
        <f t="shared" si="4"/>
        <v>Week 1</v>
      </c>
      <c r="I176" s="3" t="str">
        <f t="shared" si="5"/>
        <v>01-07</v>
      </c>
    </row>
    <row r="177" spans="1:9" ht="18.75" x14ac:dyDescent="0.3">
      <c r="A177" s="1">
        <v>46180</v>
      </c>
      <c r="B177" s="2" t="s">
        <v>117</v>
      </c>
      <c r="C177" s="2">
        <v>1</v>
      </c>
      <c r="D177" s="2">
        <v>550</v>
      </c>
      <c r="E177" s="2">
        <v>550</v>
      </c>
      <c r="F177" s="3" t="str">
        <f>PROPER(Table13[[#This Row],[Product Name(RAW)]])</f>
        <v xml:space="preserve">32A Dp Mcb Legrand </v>
      </c>
      <c r="G177" s="3" t="str">
        <f>TEXT(Table13[[#This Row],[Date]],"dddd")</f>
        <v>Sunday</v>
      </c>
      <c r="H177" s="3" t="str">
        <f t="shared" si="4"/>
        <v>Week 1</v>
      </c>
      <c r="I177" s="3" t="str">
        <f t="shared" si="5"/>
        <v>01-07</v>
      </c>
    </row>
    <row r="178" spans="1:9" ht="18.75" x14ac:dyDescent="0.3">
      <c r="A178" s="1">
        <v>46180</v>
      </c>
      <c r="B178" s="2" t="s">
        <v>118</v>
      </c>
      <c r="C178" s="2">
        <v>40</v>
      </c>
      <c r="D178" s="2">
        <v>7</v>
      </c>
      <c r="E178" s="2">
        <v>280</v>
      </c>
      <c r="F178" s="3" t="str">
        <f>PROPER(Table13[[#This Row],[Product Name(RAW)]])</f>
        <v xml:space="preserve">4'' Round Plate </v>
      </c>
      <c r="G178" s="3" t="str">
        <f>TEXT(Table13[[#This Row],[Date]],"dddd")</f>
        <v>Sunday</v>
      </c>
      <c r="H178" s="3" t="str">
        <f t="shared" si="4"/>
        <v>Week 1</v>
      </c>
      <c r="I178" s="3" t="str">
        <f t="shared" si="5"/>
        <v>01-07</v>
      </c>
    </row>
    <row r="179" spans="1:9" ht="18.75" x14ac:dyDescent="0.3">
      <c r="A179" s="1">
        <v>46180</v>
      </c>
      <c r="B179" s="2" t="s">
        <v>119</v>
      </c>
      <c r="C179" s="2">
        <v>2</v>
      </c>
      <c r="D179" s="2">
        <v>18</v>
      </c>
      <c r="E179" s="2">
        <v>36</v>
      </c>
      <c r="F179" s="3" t="str">
        <f>PROPER(Table13[[#This Row],[Product Name(RAW)]])</f>
        <v xml:space="preserve">Fan Round Plate </v>
      </c>
      <c r="G179" s="3" t="str">
        <f>TEXT(Table13[[#This Row],[Date]],"dddd")</f>
        <v>Sunday</v>
      </c>
      <c r="H179" s="3" t="str">
        <f t="shared" si="4"/>
        <v>Week 1</v>
      </c>
      <c r="I179" s="3" t="str">
        <f t="shared" si="5"/>
        <v>01-07</v>
      </c>
    </row>
    <row r="180" spans="1:9" ht="18.75" x14ac:dyDescent="0.3">
      <c r="A180" s="1">
        <v>46180</v>
      </c>
      <c r="B180" s="2" t="s">
        <v>52</v>
      </c>
      <c r="C180" s="2">
        <v>15</v>
      </c>
      <c r="D180" s="2">
        <v>30</v>
      </c>
      <c r="E180" s="2">
        <v>450</v>
      </c>
      <c r="F180" s="3" t="str">
        <f>PROPER(Table13[[#This Row],[Product Name(RAW)]])</f>
        <v xml:space="preserve">A Holder </v>
      </c>
      <c r="G180" s="3" t="str">
        <f>TEXT(Table13[[#This Row],[Date]],"dddd")</f>
        <v>Sunday</v>
      </c>
      <c r="H180" s="3" t="str">
        <f t="shared" si="4"/>
        <v>Week 1</v>
      </c>
      <c r="I180" s="3" t="str">
        <f t="shared" si="5"/>
        <v>01-07</v>
      </c>
    </row>
    <row r="181" spans="1:9" ht="18.75" x14ac:dyDescent="0.3">
      <c r="A181" s="1">
        <v>46180</v>
      </c>
      <c r="B181" s="2" t="s">
        <v>5</v>
      </c>
      <c r="C181" s="2">
        <v>6</v>
      </c>
      <c r="D181" s="2">
        <v>15</v>
      </c>
      <c r="E181" s="2">
        <v>90</v>
      </c>
      <c r="F181" s="3" t="str">
        <f>PROPER(Table13[[#This Row],[Product Name(RAW)]])</f>
        <v xml:space="preserve">Crown 2500W Infra </v>
      </c>
      <c r="G181" s="3" t="str">
        <f>TEXT(Table13[[#This Row],[Date]],"dddd")</f>
        <v>Sunday</v>
      </c>
      <c r="H181" s="3" t="str">
        <f t="shared" si="4"/>
        <v>Week 1</v>
      </c>
      <c r="I181" s="3" t="str">
        <f t="shared" si="5"/>
        <v>01-07</v>
      </c>
    </row>
    <row r="182" spans="1:9" ht="18.75" x14ac:dyDescent="0.3">
      <c r="A182" s="1">
        <v>46180</v>
      </c>
      <c r="B182" s="2" t="s">
        <v>31</v>
      </c>
      <c r="C182" s="2">
        <v>10</v>
      </c>
      <c r="D182" s="2">
        <v>10</v>
      </c>
      <c r="E182" s="2">
        <v>100</v>
      </c>
      <c r="F182" s="3" t="str">
        <f>PROPER(Table13[[#This Row],[Product Name(RAW)]])</f>
        <v xml:space="preserve">Tep </v>
      </c>
      <c r="G182" s="3" t="str">
        <f>TEXT(Table13[[#This Row],[Date]],"dddd")</f>
        <v>Sunday</v>
      </c>
      <c r="H182" s="3" t="str">
        <f t="shared" si="4"/>
        <v>Week 1</v>
      </c>
      <c r="I182" s="3" t="str">
        <f t="shared" si="5"/>
        <v>01-07</v>
      </c>
    </row>
    <row r="183" spans="1:9" ht="18.75" x14ac:dyDescent="0.3">
      <c r="A183" s="1">
        <v>46180</v>
      </c>
      <c r="B183" s="2" t="s">
        <v>120</v>
      </c>
      <c r="C183" s="2">
        <v>6</v>
      </c>
      <c r="D183" s="2">
        <v>100</v>
      </c>
      <c r="E183" s="2">
        <v>600</v>
      </c>
      <c r="F183" s="3" t="str">
        <f>PROPER(Table13[[#This Row],[Product Name(RAW)]])</f>
        <v xml:space="preserve">3W Juncton Light </v>
      </c>
      <c r="G183" s="3" t="str">
        <f>TEXT(Table13[[#This Row],[Date]],"dddd")</f>
        <v>Sunday</v>
      </c>
      <c r="H183" s="3" t="str">
        <f t="shared" si="4"/>
        <v>Week 1</v>
      </c>
      <c r="I183" s="3" t="str">
        <f t="shared" si="5"/>
        <v>01-07</v>
      </c>
    </row>
    <row r="184" spans="1:9" ht="18.75" x14ac:dyDescent="0.3">
      <c r="A184" s="1">
        <v>46180</v>
      </c>
      <c r="B184" s="2" t="s">
        <v>121</v>
      </c>
      <c r="C184" s="2">
        <v>6</v>
      </c>
      <c r="D184" s="2">
        <v>180</v>
      </c>
      <c r="E184" s="2">
        <v>1080</v>
      </c>
      <c r="F184" s="3" t="str">
        <f>PROPER(Table13[[#This Row],[Product Name(RAW)]])</f>
        <v xml:space="preserve">8+8 Junction Light </v>
      </c>
      <c r="G184" s="3" t="str">
        <f>TEXT(Table13[[#This Row],[Date]],"dddd")</f>
        <v>Sunday</v>
      </c>
      <c r="H184" s="3" t="str">
        <f t="shared" si="4"/>
        <v>Week 1</v>
      </c>
      <c r="I184" s="3" t="str">
        <f t="shared" si="5"/>
        <v>01-07</v>
      </c>
    </row>
    <row r="185" spans="1:9" ht="18.75" x14ac:dyDescent="0.3">
      <c r="A185" s="1">
        <v>46180</v>
      </c>
      <c r="B185" s="2" t="s">
        <v>67</v>
      </c>
      <c r="C185" s="2">
        <v>1</v>
      </c>
      <c r="D185" s="2">
        <v>70</v>
      </c>
      <c r="E185" s="2">
        <v>70</v>
      </c>
      <c r="F185" s="3" t="str">
        <f>PROPER(Table13[[#This Row],[Product Name(RAW)]])</f>
        <v xml:space="preserve">16A Top </v>
      </c>
      <c r="G185" s="3" t="str">
        <f>TEXT(Table13[[#This Row],[Date]],"dddd")</f>
        <v>Sunday</v>
      </c>
      <c r="H185" s="3" t="str">
        <f t="shared" si="4"/>
        <v>Week 1</v>
      </c>
      <c r="I185" s="3" t="str">
        <f t="shared" si="5"/>
        <v>01-07</v>
      </c>
    </row>
    <row r="186" spans="1:9" ht="18.75" x14ac:dyDescent="0.3">
      <c r="A186" s="1">
        <v>46180</v>
      </c>
      <c r="B186" s="2" t="s">
        <v>122</v>
      </c>
      <c r="C186" s="2">
        <v>17</v>
      </c>
      <c r="D186" s="2">
        <v>19</v>
      </c>
      <c r="E186" s="2">
        <v>323</v>
      </c>
      <c r="F186" s="3" t="str">
        <f>PROPER(Table13[[#This Row],[Product Name(RAW)]])</f>
        <v xml:space="preserve">Dish Wire </v>
      </c>
      <c r="G186" s="3" t="str">
        <f>TEXT(Table13[[#This Row],[Date]],"dddd")</f>
        <v>Sunday</v>
      </c>
      <c r="H186" s="3" t="str">
        <f t="shared" si="4"/>
        <v>Week 1</v>
      </c>
      <c r="I186" s="3" t="str">
        <f t="shared" si="5"/>
        <v>01-07</v>
      </c>
    </row>
    <row r="187" spans="1:9" ht="18.75" x14ac:dyDescent="0.3">
      <c r="A187" s="1">
        <v>46180</v>
      </c>
      <c r="B187" s="2" t="s">
        <v>123</v>
      </c>
      <c r="C187" s="2">
        <v>35</v>
      </c>
      <c r="D187" s="2">
        <v>20</v>
      </c>
      <c r="E187" s="2">
        <v>700</v>
      </c>
      <c r="F187" s="3" t="str">
        <f>PROPER(Table13[[#This Row],[Product Name(RAW)]])</f>
        <v xml:space="preserve">Speker Wire </v>
      </c>
      <c r="G187" s="3" t="str">
        <f>TEXT(Table13[[#This Row],[Date]],"dddd")</f>
        <v>Sunday</v>
      </c>
      <c r="H187" s="3" t="str">
        <f t="shared" si="4"/>
        <v>Week 1</v>
      </c>
      <c r="I187" s="3" t="str">
        <f t="shared" si="5"/>
        <v>01-07</v>
      </c>
    </row>
    <row r="188" spans="1:9" ht="18.75" x14ac:dyDescent="0.3">
      <c r="A188" s="1">
        <v>46180</v>
      </c>
      <c r="B188" s="2" t="s">
        <v>124</v>
      </c>
      <c r="C188" s="2">
        <v>4</v>
      </c>
      <c r="D188" s="2">
        <v>1550</v>
      </c>
      <c r="E188" s="2">
        <v>6200</v>
      </c>
      <c r="F188" s="3" t="str">
        <f>PROPER(Table13[[#This Row],[Product Name(RAW)]])</f>
        <v xml:space="preserve">1 Mm Rr Wire </v>
      </c>
      <c r="G188" s="3" t="str">
        <f>TEXT(Table13[[#This Row],[Date]],"dddd")</f>
        <v>Sunday</v>
      </c>
      <c r="H188" s="3" t="str">
        <f t="shared" si="4"/>
        <v>Week 1</v>
      </c>
      <c r="I188" s="3" t="str">
        <f t="shared" si="5"/>
        <v>01-07</v>
      </c>
    </row>
    <row r="189" spans="1:9" ht="18.75" x14ac:dyDescent="0.3">
      <c r="A189" s="1">
        <v>46180</v>
      </c>
      <c r="B189" s="2" t="s">
        <v>51</v>
      </c>
      <c r="C189" s="2">
        <v>1</v>
      </c>
      <c r="D189" s="2">
        <v>2300</v>
      </c>
      <c r="E189" s="2">
        <v>2300</v>
      </c>
      <c r="F189" s="3" t="str">
        <f>PROPER(Table13[[#This Row],[Product Name(RAW)]])</f>
        <v xml:space="preserve">1.5 Mm Rr Cable </v>
      </c>
      <c r="G189" s="3" t="str">
        <f>TEXT(Table13[[#This Row],[Date]],"dddd")</f>
        <v>Sunday</v>
      </c>
      <c r="H189" s="3" t="str">
        <f t="shared" si="4"/>
        <v>Week 1</v>
      </c>
      <c r="I189" s="3" t="str">
        <f t="shared" si="5"/>
        <v>01-07</v>
      </c>
    </row>
    <row r="190" spans="1:9" ht="18.75" x14ac:dyDescent="0.3">
      <c r="A190" s="1">
        <v>46180</v>
      </c>
      <c r="B190" s="2" t="s">
        <v>51</v>
      </c>
      <c r="C190" s="2">
        <v>45</v>
      </c>
      <c r="D190" s="2">
        <v>27</v>
      </c>
      <c r="E190" s="2">
        <v>1215</v>
      </c>
      <c r="F190" s="3" t="str">
        <f>PROPER(Table13[[#This Row],[Product Name(RAW)]])</f>
        <v xml:space="preserve">1.5 Mm Rr Cable </v>
      </c>
      <c r="G190" s="3" t="str">
        <f>TEXT(Table13[[#This Row],[Date]],"dddd")</f>
        <v>Sunday</v>
      </c>
      <c r="H190" s="3" t="str">
        <f t="shared" si="4"/>
        <v>Week 1</v>
      </c>
      <c r="I190" s="3" t="str">
        <f t="shared" si="5"/>
        <v>01-07</v>
      </c>
    </row>
    <row r="191" spans="1:9" ht="18.75" x14ac:dyDescent="0.3">
      <c r="A191" s="1">
        <v>46180</v>
      </c>
      <c r="B191" s="2" t="s">
        <v>125</v>
      </c>
      <c r="C191" s="2">
        <v>1</v>
      </c>
      <c r="D191" s="2">
        <v>3650</v>
      </c>
      <c r="E191" s="2">
        <v>3650</v>
      </c>
      <c r="F191" s="3" t="str">
        <f>PROPER(Table13[[#This Row],[Product Name(RAW)]])</f>
        <v xml:space="preserve">2.5Mm Rr </v>
      </c>
      <c r="G191" s="3" t="str">
        <f>TEXT(Table13[[#This Row],[Date]],"dddd")</f>
        <v>Sunday</v>
      </c>
      <c r="H191" s="3" t="str">
        <f t="shared" si="4"/>
        <v>Week 1</v>
      </c>
      <c r="I191" s="3" t="str">
        <f t="shared" si="5"/>
        <v>01-07</v>
      </c>
    </row>
    <row r="192" spans="1:9" ht="18.75" x14ac:dyDescent="0.3">
      <c r="A192" s="1">
        <v>46180</v>
      </c>
      <c r="B192" s="2" t="s">
        <v>29</v>
      </c>
      <c r="C192" s="2">
        <v>1</v>
      </c>
      <c r="D192" s="2">
        <v>10</v>
      </c>
      <c r="E192" s="2">
        <v>10</v>
      </c>
      <c r="F192" s="3" t="str">
        <f>PROPER(Table13[[#This Row],[Product Name(RAW)]])</f>
        <v xml:space="preserve">2 Pin Top </v>
      </c>
      <c r="G192" s="3" t="str">
        <f>TEXT(Table13[[#This Row],[Date]],"dddd")</f>
        <v>Sunday</v>
      </c>
      <c r="H192" s="3" t="str">
        <f t="shared" si="4"/>
        <v>Week 1</v>
      </c>
      <c r="I192" s="3" t="str">
        <f t="shared" si="5"/>
        <v>01-07</v>
      </c>
    </row>
    <row r="193" spans="1:9" ht="18.75" x14ac:dyDescent="0.3">
      <c r="A193" s="1">
        <v>46180</v>
      </c>
      <c r="B193" s="2" t="s">
        <v>126</v>
      </c>
      <c r="C193" s="2">
        <v>45</v>
      </c>
      <c r="D193" s="2">
        <v>20</v>
      </c>
      <c r="E193" s="2">
        <v>900</v>
      </c>
      <c r="F193" s="3" t="str">
        <f>PROPER(Table13[[#This Row],[Product Name(RAW)]])</f>
        <v xml:space="preserve">25 Mm Deep Junction </v>
      </c>
      <c r="G193" s="3" t="str">
        <f>TEXT(Table13[[#This Row],[Date]],"dddd")</f>
        <v>Sunday</v>
      </c>
      <c r="H193" s="3" t="str">
        <f t="shared" si="4"/>
        <v>Week 1</v>
      </c>
      <c r="I193" s="3" t="str">
        <f t="shared" si="5"/>
        <v>01-07</v>
      </c>
    </row>
    <row r="194" spans="1:9" ht="18.75" x14ac:dyDescent="0.3">
      <c r="A194" s="1">
        <v>46180</v>
      </c>
      <c r="B194" s="2" t="s">
        <v>127</v>
      </c>
      <c r="C194" s="2">
        <v>3</v>
      </c>
      <c r="D194" s="2">
        <v>70</v>
      </c>
      <c r="E194" s="2">
        <v>210</v>
      </c>
      <c r="F194" s="3" t="str">
        <f>PROPER(Table13[[#This Row],[Product Name(RAW)]])</f>
        <v xml:space="preserve">25Mm Fan Box </v>
      </c>
      <c r="G194" s="3" t="str">
        <f>TEXT(Table13[[#This Row],[Date]],"dddd")</f>
        <v>Sunday</v>
      </c>
      <c r="H194" s="3" t="str">
        <f t="shared" ref="H194:H257" si="6">"Week "&amp;ROUNDUP(DAY(A194)/7,0)</f>
        <v>Week 1</v>
      </c>
      <c r="I194" s="3" t="str">
        <f t="shared" ref="I194:I257" si="7">IF(DAY(A194)&lt;=7,"01-07",
IF(DAY(A194)&lt;=14,"08-14",
IF(DAY(A194)&lt;=21,"15-21",
IF(DAY(A194)&lt;=28,"22-28","29-30"))))</f>
        <v>01-07</v>
      </c>
    </row>
    <row r="195" spans="1:9" ht="18.75" x14ac:dyDescent="0.3">
      <c r="A195" s="1">
        <v>46180</v>
      </c>
      <c r="B195" s="2" t="s">
        <v>31</v>
      </c>
      <c r="C195" s="2">
        <v>3</v>
      </c>
      <c r="D195" s="2">
        <v>10</v>
      </c>
      <c r="E195" s="2">
        <v>30</v>
      </c>
      <c r="F195" s="3" t="str">
        <f>PROPER(Table13[[#This Row],[Product Name(RAW)]])</f>
        <v xml:space="preserve">Tep </v>
      </c>
      <c r="G195" s="3" t="str">
        <f>TEXT(Table13[[#This Row],[Date]],"dddd")</f>
        <v>Sunday</v>
      </c>
      <c r="H195" s="3" t="str">
        <f t="shared" si="6"/>
        <v>Week 1</v>
      </c>
      <c r="I195" s="3" t="str">
        <f t="shared" si="7"/>
        <v>01-07</v>
      </c>
    </row>
    <row r="196" spans="1:9" ht="18.75" x14ac:dyDescent="0.3">
      <c r="A196" s="1">
        <v>46180</v>
      </c>
      <c r="B196" s="2" t="s">
        <v>273</v>
      </c>
      <c r="C196" s="2">
        <v>1</v>
      </c>
      <c r="D196" s="2">
        <v>220</v>
      </c>
      <c r="E196" s="2">
        <v>220</v>
      </c>
      <c r="F196" s="3" t="str">
        <f>PROPER(Table13[[#This Row],[Product Name(RAW)]])</f>
        <v xml:space="preserve">Shegdi </v>
      </c>
      <c r="G196" s="3" t="str">
        <f>TEXT(Table13[[#This Row],[Date]],"dddd")</f>
        <v>Sunday</v>
      </c>
      <c r="H196" s="3" t="str">
        <f t="shared" si="6"/>
        <v>Week 1</v>
      </c>
      <c r="I196" s="3" t="str">
        <f t="shared" si="7"/>
        <v>01-07</v>
      </c>
    </row>
    <row r="197" spans="1:9" ht="18.75" x14ac:dyDescent="0.3">
      <c r="A197" s="1">
        <v>46180</v>
      </c>
      <c r="B197" s="2" t="s">
        <v>14</v>
      </c>
      <c r="C197" s="2">
        <v>1</v>
      </c>
      <c r="D197" s="2">
        <v>40</v>
      </c>
      <c r="E197" s="2">
        <v>40</v>
      </c>
      <c r="F197" s="3" t="str">
        <f>PROPER(Table13[[#This Row],[Product Name(RAW)]])</f>
        <v>Visha L Coil</v>
      </c>
      <c r="G197" s="3" t="str">
        <f>TEXT(Table13[[#This Row],[Date]],"dddd")</f>
        <v>Sunday</v>
      </c>
      <c r="H197" s="3" t="str">
        <f t="shared" si="6"/>
        <v>Week 1</v>
      </c>
      <c r="I197" s="3" t="str">
        <f t="shared" si="7"/>
        <v>01-07</v>
      </c>
    </row>
    <row r="198" spans="1:9" ht="18.75" x14ac:dyDescent="0.3">
      <c r="A198" s="1">
        <v>46181</v>
      </c>
      <c r="B198" s="2" t="s">
        <v>128</v>
      </c>
      <c r="C198" s="2">
        <v>1</v>
      </c>
      <c r="D198" s="2">
        <v>20</v>
      </c>
      <c r="E198" s="2">
        <v>20</v>
      </c>
      <c r="F198" s="3" t="str">
        <f>PROPER(Table13[[#This Row],[Product Name(RAW)]])</f>
        <v xml:space="preserve">Deep Junction </v>
      </c>
      <c r="G198" s="3" t="str">
        <f>TEXT(Table13[[#This Row],[Date]],"dddd")</f>
        <v>Monday</v>
      </c>
      <c r="H198" s="3" t="str">
        <f t="shared" si="6"/>
        <v>Week 2</v>
      </c>
      <c r="I198" s="3" t="str">
        <f t="shared" si="7"/>
        <v>08-14</v>
      </c>
    </row>
    <row r="199" spans="1:9" ht="18.75" x14ac:dyDescent="0.3">
      <c r="A199" s="1">
        <v>46181</v>
      </c>
      <c r="B199" s="2" t="s">
        <v>97</v>
      </c>
      <c r="C199" s="2">
        <v>1</v>
      </c>
      <c r="D199" s="2">
        <v>15</v>
      </c>
      <c r="E199" s="2">
        <v>15</v>
      </c>
      <c r="F199" s="3" t="str">
        <f>PROPER(Table13[[#This Row],[Product Name(RAW)]])</f>
        <v xml:space="preserve">Sada Switch </v>
      </c>
      <c r="G199" s="3" t="str">
        <f>TEXT(Table13[[#This Row],[Date]],"dddd")</f>
        <v>Monday</v>
      </c>
      <c r="H199" s="3" t="str">
        <f t="shared" si="6"/>
        <v>Week 2</v>
      </c>
      <c r="I199" s="3" t="str">
        <f t="shared" si="7"/>
        <v>08-14</v>
      </c>
    </row>
    <row r="200" spans="1:9" ht="18.75" x14ac:dyDescent="0.3">
      <c r="A200" s="1">
        <v>46181</v>
      </c>
      <c r="B200" s="2" t="s">
        <v>129</v>
      </c>
      <c r="C200" s="2">
        <v>2</v>
      </c>
      <c r="D200" s="2">
        <v>550</v>
      </c>
      <c r="E200" s="2">
        <v>1100</v>
      </c>
      <c r="F200" s="3" t="str">
        <f>PROPER(Table13[[#This Row],[Product Name(RAW)]])</f>
        <v xml:space="preserve">Torch </v>
      </c>
      <c r="G200" s="3" t="str">
        <f>TEXT(Table13[[#This Row],[Date]],"dddd")</f>
        <v>Monday</v>
      </c>
      <c r="H200" s="3" t="str">
        <f t="shared" si="6"/>
        <v>Week 2</v>
      </c>
      <c r="I200" s="3" t="str">
        <f t="shared" si="7"/>
        <v>08-14</v>
      </c>
    </row>
    <row r="201" spans="1:9" ht="18.75" x14ac:dyDescent="0.3">
      <c r="A201" s="1">
        <v>46181</v>
      </c>
      <c r="B201" s="2" t="s">
        <v>130</v>
      </c>
      <c r="C201" s="2">
        <v>4</v>
      </c>
      <c r="D201" s="2">
        <v>125</v>
      </c>
      <c r="E201" s="2">
        <v>500</v>
      </c>
      <c r="F201" s="3" t="str">
        <f>PROPER(Table13[[#This Row],[Product Name(RAW)]])</f>
        <v xml:space="preserve">3W Junction 3 In 1 </v>
      </c>
      <c r="G201" s="3" t="str">
        <f>TEXT(Table13[[#This Row],[Date]],"dddd")</f>
        <v>Monday</v>
      </c>
      <c r="H201" s="3" t="str">
        <f t="shared" si="6"/>
        <v>Week 2</v>
      </c>
      <c r="I201" s="3" t="str">
        <f t="shared" si="7"/>
        <v>08-14</v>
      </c>
    </row>
    <row r="202" spans="1:9" ht="18.75" x14ac:dyDescent="0.3">
      <c r="A202" s="1">
        <v>46181</v>
      </c>
      <c r="B202" s="2" t="s">
        <v>124</v>
      </c>
      <c r="C202" s="2">
        <v>3</v>
      </c>
      <c r="D202" s="2">
        <v>18</v>
      </c>
      <c r="E202" s="2">
        <v>54</v>
      </c>
      <c r="F202" s="3" t="str">
        <f>PROPER(Table13[[#This Row],[Product Name(RAW)]])</f>
        <v xml:space="preserve">1 Mm Rr Wire </v>
      </c>
      <c r="G202" s="3" t="str">
        <f>TEXT(Table13[[#This Row],[Date]],"dddd")</f>
        <v>Monday</v>
      </c>
      <c r="H202" s="3" t="str">
        <f t="shared" si="6"/>
        <v>Week 2</v>
      </c>
      <c r="I202" s="3" t="str">
        <f t="shared" si="7"/>
        <v>08-14</v>
      </c>
    </row>
    <row r="203" spans="1:9" ht="18.75" x14ac:dyDescent="0.3">
      <c r="A203" s="1">
        <v>46181</v>
      </c>
      <c r="B203" s="2" t="s">
        <v>31</v>
      </c>
      <c r="C203" s="2">
        <v>1</v>
      </c>
      <c r="D203" s="2">
        <v>10</v>
      </c>
      <c r="E203" s="2">
        <v>10</v>
      </c>
      <c r="F203" s="3" t="str">
        <f>PROPER(Table13[[#This Row],[Product Name(RAW)]])</f>
        <v xml:space="preserve">Tep </v>
      </c>
      <c r="G203" s="3" t="str">
        <f>TEXT(Table13[[#This Row],[Date]],"dddd")</f>
        <v>Monday</v>
      </c>
      <c r="H203" s="3" t="str">
        <f t="shared" si="6"/>
        <v>Week 2</v>
      </c>
      <c r="I203" s="3" t="str">
        <f t="shared" si="7"/>
        <v>08-14</v>
      </c>
    </row>
    <row r="204" spans="1:9" ht="18.75" x14ac:dyDescent="0.3">
      <c r="A204" s="1">
        <v>46181</v>
      </c>
      <c r="B204" s="2" t="s">
        <v>131</v>
      </c>
      <c r="C204" s="2">
        <v>1</v>
      </c>
      <c r="D204" s="2">
        <v>100</v>
      </c>
      <c r="E204" s="2">
        <v>100</v>
      </c>
      <c r="F204" s="3" t="str">
        <f>PROPER(Table13[[#This Row],[Product Name(RAW)]])</f>
        <v xml:space="preserve">Chakri Bord </v>
      </c>
      <c r="G204" s="3" t="str">
        <f>TEXT(Table13[[#This Row],[Date]],"dddd")</f>
        <v>Monday</v>
      </c>
      <c r="H204" s="3" t="str">
        <f t="shared" si="6"/>
        <v>Week 2</v>
      </c>
      <c r="I204" s="3" t="str">
        <f t="shared" si="7"/>
        <v>08-14</v>
      </c>
    </row>
    <row r="205" spans="1:9" ht="18.75" x14ac:dyDescent="0.3">
      <c r="A205" s="1">
        <v>46181</v>
      </c>
      <c r="B205" s="2" t="s">
        <v>111</v>
      </c>
      <c r="C205" s="2">
        <v>1</v>
      </c>
      <c r="D205" s="2">
        <v>30</v>
      </c>
      <c r="E205" s="2">
        <v>30</v>
      </c>
      <c r="F205" s="3" t="str">
        <f>PROPER(Table13[[#This Row],[Product Name(RAW)]])</f>
        <v xml:space="preserve">Nita Coil </v>
      </c>
      <c r="G205" s="3" t="str">
        <f>TEXT(Table13[[#This Row],[Date]],"dddd")</f>
        <v>Monday</v>
      </c>
      <c r="H205" s="3" t="str">
        <f t="shared" si="6"/>
        <v>Week 2</v>
      </c>
      <c r="I205" s="3" t="str">
        <f t="shared" si="7"/>
        <v>08-14</v>
      </c>
    </row>
    <row r="206" spans="1:9" ht="18.75" x14ac:dyDescent="0.3">
      <c r="A206" s="1">
        <v>46181</v>
      </c>
      <c r="B206" s="2" t="s">
        <v>24</v>
      </c>
      <c r="C206" s="2">
        <v>1</v>
      </c>
      <c r="D206" s="2">
        <v>10</v>
      </c>
      <c r="E206" s="2">
        <v>10</v>
      </c>
      <c r="F206" s="3" t="str">
        <f>PROPER(Table13[[#This Row],[Product Name(RAW)]])</f>
        <v xml:space="preserve">Sada Holder </v>
      </c>
      <c r="G206" s="3" t="str">
        <f>TEXT(Table13[[#This Row],[Date]],"dddd")</f>
        <v>Monday</v>
      </c>
      <c r="H206" s="3" t="str">
        <f t="shared" si="6"/>
        <v>Week 2</v>
      </c>
      <c r="I206" s="3" t="str">
        <f t="shared" si="7"/>
        <v>08-14</v>
      </c>
    </row>
    <row r="207" spans="1:9" ht="18.75" x14ac:dyDescent="0.3">
      <c r="A207" s="1">
        <v>46184</v>
      </c>
      <c r="B207" s="2" t="s">
        <v>124</v>
      </c>
      <c r="C207" s="2">
        <v>11</v>
      </c>
      <c r="D207" s="2">
        <v>1550</v>
      </c>
      <c r="E207" s="2">
        <v>17050</v>
      </c>
      <c r="F207" s="3" t="str">
        <f>PROPER(Table13[[#This Row],[Product Name(RAW)]])</f>
        <v xml:space="preserve">1 Mm Rr Wire </v>
      </c>
      <c r="G207" s="3" t="str">
        <f>TEXT(Table13[[#This Row],[Date]],"dddd")</f>
        <v>Thursday</v>
      </c>
      <c r="H207" s="3" t="str">
        <f t="shared" si="6"/>
        <v>Week 2</v>
      </c>
      <c r="I207" s="3" t="str">
        <f t="shared" si="7"/>
        <v>08-14</v>
      </c>
    </row>
    <row r="208" spans="1:9" ht="18.75" x14ac:dyDescent="0.3">
      <c r="A208" s="1">
        <v>46184</v>
      </c>
      <c r="B208" s="2" t="s">
        <v>132</v>
      </c>
      <c r="C208" s="2">
        <v>2</v>
      </c>
      <c r="D208" s="2">
        <v>2300</v>
      </c>
      <c r="E208" s="2">
        <v>4600</v>
      </c>
      <c r="F208" s="3" t="str">
        <f>PROPER(Table13[[#This Row],[Product Name(RAW)]])</f>
        <v>1.5 Mm Rr Wire</v>
      </c>
      <c r="G208" s="3" t="str">
        <f>TEXT(Table13[[#This Row],[Date]],"dddd")</f>
        <v>Thursday</v>
      </c>
      <c r="H208" s="3" t="str">
        <f t="shared" si="6"/>
        <v>Week 2</v>
      </c>
      <c r="I208" s="3" t="str">
        <f t="shared" si="7"/>
        <v>08-14</v>
      </c>
    </row>
    <row r="209" spans="1:9" ht="18.75" x14ac:dyDescent="0.3">
      <c r="A209" s="1">
        <v>46184</v>
      </c>
      <c r="B209" s="2" t="s">
        <v>133</v>
      </c>
      <c r="C209" s="2">
        <v>4</v>
      </c>
      <c r="D209" s="2">
        <v>3650</v>
      </c>
      <c r="E209" s="2">
        <v>14600</v>
      </c>
      <c r="F209" s="3" t="str">
        <f>PROPER(Table13[[#This Row],[Product Name(RAW)]])</f>
        <v xml:space="preserve">2.5 Mm Rr Wire </v>
      </c>
      <c r="G209" s="3" t="str">
        <f>TEXT(Table13[[#This Row],[Date]],"dddd")</f>
        <v>Thursday</v>
      </c>
      <c r="H209" s="3" t="str">
        <f t="shared" si="6"/>
        <v>Week 2</v>
      </c>
      <c r="I209" s="3" t="str">
        <f t="shared" si="7"/>
        <v>08-14</v>
      </c>
    </row>
    <row r="210" spans="1:9" ht="18.75" x14ac:dyDescent="0.3">
      <c r="A210" s="1">
        <v>46184</v>
      </c>
      <c r="B210" s="2" t="s">
        <v>138</v>
      </c>
      <c r="C210" s="2">
        <v>10</v>
      </c>
      <c r="D210" s="2">
        <v>42</v>
      </c>
      <c r="E210" s="2">
        <v>420</v>
      </c>
      <c r="F210" s="3" t="str">
        <f>PROPER(Table13[[#This Row],[Product Name(RAW)]])</f>
        <v>Lmc Pipe</v>
      </c>
      <c r="G210" s="3" t="str">
        <f>TEXT(Table13[[#This Row],[Date]],"dddd")</f>
        <v>Thursday</v>
      </c>
      <c r="H210" s="3" t="str">
        <f t="shared" si="6"/>
        <v>Week 2</v>
      </c>
      <c r="I210" s="3" t="str">
        <f t="shared" si="7"/>
        <v>08-14</v>
      </c>
    </row>
    <row r="211" spans="1:9" ht="18.75" x14ac:dyDescent="0.3">
      <c r="A211" s="1">
        <v>46184</v>
      </c>
      <c r="B211" s="2" t="s">
        <v>138</v>
      </c>
      <c r="C211" s="2">
        <v>10</v>
      </c>
      <c r="D211" s="2">
        <v>12</v>
      </c>
      <c r="E211" s="2">
        <v>120</v>
      </c>
      <c r="F211" s="3" t="str">
        <f>PROPER(Table13[[#This Row],[Product Name(RAW)]])</f>
        <v>Lmc Pipe</v>
      </c>
      <c r="G211" s="3" t="str">
        <f>TEXT(Table13[[#This Row],[Date]],"dddd")</f>
        <v>Thursday</v>
      </c>
      <c r="H211" s="3" t="str">
        <f t="shared" si="6"/>
        <v>Week 2</v>
      </c>
      <c r="I211" s="3" t="str">
        <f t="shared" si="7"/>
        <v>08-14</v>
      </c>
    </row>
    <row r="212" spans="1:9" ht="18.75" x14ac:dyDescent="0.3">
      <c r="A212" s="1">
        <v>46184</v>
      </c>
      <c r="B212" s="2" t="s">
        <v>134</v>
      </c>
      <c r="C212" s="2">
        <v>4</v>
      </c>
      <c r="D212" s="2">
        <v>90</v>
      </c>
      <c r="E212" s="2">
        <v>360</v>
      </c>
      <c r="F212" s="3" t="str">
        <f>PROPER(Table13[[#This Row],[Product Name(RAW)]])</f>
        <v xml:space="preserve">12M Metal Box </v>
      </c>
      <c r="G212" s="3" t="str">
        <f>TEXT(Table13[[#This Row],[Date]],"dddd")</f>
        <v>Thursday</v>
      </c>
      <c r="H212" s="3" t="str">
        <f t="shared" si="6"/>
        <v>Week 2</v>
      </c>
      <c r="I212" s="3" t="str">
        <f t="shared" si="7"/>
        <v>08-14</v>
      </c>
    </row>
    <row r="213" spans="1:9" ht="18.75" x14ac:dyDescent="0.3">
      <c r="A213" s="1">
        <v>46184</v>
      </c>
      <c r="B213" s="2" t="s">
        <v>135</v>
      </c>
      <c r="C213" s="2">
        <v>1</v>
      </c>
      <c r="D213" s="2">
        <v>60</v>
      </c>
      <c r="E213" s="2">
        <v>60</v>
      </c>
      <c r="F213" s="3" t="str">
        <f>PROPER(Table13[[#This Row],[Product Name(RAW)]])</f>
        <v xml:space="preserve">6M  Metal </v>
      </c>
      <c r="G213" s="3" t="str">
        <f>TEXT(Table13[[#This Row],[Date]],"dddd")</f>
        <v>Thursday</v>
      </c>
      <c r="H213" s="3" t="str">
        <f t="shared" si="6"/>
        <v>Week 2</v>
      </c>
      <c r="I213" s="3" t="str">
        <f t="shared" si="7"/>
        <v>08-14</v>
      </c>
    </row>
    <row r="214" spans="1:9" ht="18.75" x14ac:dyDescent="0.3">
      <c r="A214" s="1">
        <v>46184</v>
      </c>
      <c r="B214" s="2" t="s">
        <v>136</v>
      </c>
      <c r="C214" s="2">
        <v>4</v>
      </c>
      <c r="D214" s="2">
        <v>50</v>
      </c>
      <c r="E214" s="2">
        <v>200</v>
      </c>
      <c r="F214" s="3" t="str">
        <f>PROPER(Table13[[#This Row],[Product Name(RAW)]])</f>
        <v xml:space="preserve">4M Metal Box </v>
      </c>
      <c r="G214" s="3" t="str">
        <f>TEXT(Table13[[#This Row],[Date]],"dddd")</f>
        <v>Thursday</v>
      </c>
      <c r="H214" s="3" t="str">
        <f t="shared" si="6"/>
        <v>Week 2</v>
      </c>
      <c r="I214" s="3" t="str">
        <f t="shared" si="7"/>
        <v>08-14</v>
      </c>
    </row>
    <row r="215" spans="1:9" ht="18.75" x14ac:dyDescent="0.3">
      <c r="A215" s="1">
        <v>46184</v>
      </c>
      <c r="B215" s="2" t="s">
        <v>137</v>
      </c>
      <c r="C215" s="2">
        <v>20</v>
      </c>
      <c r="D215" s="2">
        <v>10</v>
      </c>
      <c r="E215" s="2">
        <v>200</v>
      </c>
      <c r="F215" s="3" t="str">
        <f>PROPER(Table13[[#This Row],[Product Name(RAW)]])</f>
        <v xml:space="preserve">25Mm Bend </v>
      </c>
      <c r="G215" s="3" t="str">
        <f>TEXT(Table13[[#This Row],[Date]],"dddd")</f>
        <v>Thursday</v>
      </c>
      <c r="H215" s="3" t="str">
        <f t="shared" si="6"/>
        <v>Week 2</v>
      </c>
      <c r="I215" s="3" t="str">
        <f t="shared" si="7"/>
        <v>08-14</v>
      </c>
    </row>
    <row r="216" spans="1:9" ht="18.75" x14ac:dyDescent="0.3">
      <c r="A216" s="1">
        <v>46185</v>
      </c>
      <c r="B216" s="2" t="s">
        <v>6</v>
      </c>
      <c r="C216" s="2">
        <v>1</v>
      </c>
      <c r="D216" s="2">
        <v>140</v>
      </c>
      <c r="E216" s="2">
        <v>140</v>
      </c>
      <c r="F216" s="3" t="str">
        <f>PROPER(Table13[[#This Row],[Product Name(RAW)]])</f>
        <v xml:space="preserve">Cona Ss Com Box </v>
      </c>
      <c r="G216" s="3" t="str">
        <f>TEXT(Table13[[#This Row],[Date]],"dddd")</f>
        <v>Friday</v>
      </c>
      <c r="H216" s="3" t="str">
        <f t="shared" si="6"/>
        <v>Week 2</v>
      </c>
      <c r="I216" s="3" t="str">
        <f t="shared" si="7"/>
        <v>08-14</v>
      </c>
    </row>
    <row r="217" spans="1:9" ht="18.75" x14ac:dyDescent="0.3">
      <c r="A217" s="1">
        <v>46185</v>
      </c>
      <c r="B217" s="2" t="s">
        <v>30</v>
      </c>
      <c r="C217" s="2">
        <v>15</v>
      </c>
      <c r="D217" s="2">
        <v>15</v>
      </c>
      <c r="E217" s="2">
        <v>225</v>
      </c>
      <c r="F217" s="3" t="str">
        <f>PROPER(Table13[[#This Row],[Product Name(RAW)]])</f>
        <v xml:space="preserve">4 Mm Ss Wire </v>
      </c>
      <c r="G217" s="3" t="str">
        <f>TEXT(Table13[[#This Row],[Date]],"dddd")</f>
        <v>Friday</v>
      </c>
      <c r="H217" s="3" t="str">
        <f t="shared" si="6"/>
        <v>Week 2</v>
      </c>
      <c r="I217" s="3" t="str">
        <f t="shared" si="7"/>
        <v>08-14</v>
      </c>
    </row>
    <row r="218" spans="1:9" ht="18.75" x14ac:dyDescent="0.3">
      <c r="A218" s="1">
        <v>46185</v>
      </c>
      <c r="B218" s="2" t="s">
        <v>139</v>
      </c>
      <c r="C218" s="2">
        <v>12</v>
      </c>
      <c r="D218" s="2">
        <v>40</v>
      </c>
      <c r="E218" s="2">
        <v>480</v>
      </c>
      <c r="F218" s="3" t="str">
        <f>PROPER(Table13[[#This Row],[Product Name(RAW)]])</f>
        <v xml:space="preserve">K Patti </v>
      </c>
      <c r="G218" s="3" t="str">
        <f>TEXT(Table13[[#This Row],[Date]],"dddd")</f>
        <v>Friday</v>
      </c>
      <c r="H218" s="3" t="str">
        <f t="shared" si="6"/>
        <v>Week 2</v>
      </c>
      <c r="I218" s="3" t="str">
        <f t="shared" si="7"/>
        <v>08-14</v>
      </c>
    </row>
    <row r="219" spans="1:9" ht="18.75" x14ac:dyDescent="0.3">
      <c r="A219" s="1">
        <v>46185</v>
      </c>
      <c r="B219" s="2" t="s">
        <v>140</v>
      </c>
      <c r="C219" s="2">
        <v>4</v>
      </c>
      <c r="D219" s="2">
        <v>90</v>
      </c>
      <c r="E219" s="2">
        <v>360</v>
      </c>
      <c r="F219" s="3" t="str">
        <f>PROPER(Table13[[#This Row],[Product Name(RAW)]])</f>
        <v xml:space="preserve">12 M Pancham </v>
      </c>
      <c r="G219" s="3" t="str">
        <f>TEXT(Table13[[#This Row],[Date]],"dddd")</f>
        <v>Friday</v>
      </c>
      <c r="H219" s="3" t="str">
        <f t="shared" si="6"/>
        <v>Week 2</v>
      </c>
      <c r="I219" s="3" t="str">
        <f t="shared" si="7"/>
        <v>08-14</v>
      </c>
    </row>
    <row r="220" spans="1:9" ht="18.75" x14ac:dyDescent="0.3">
      <c r="A220" s="1">
        <v>46185</v>
      </c>
      <c r="B220" s="2" t="s">
        <v>141</v>
      </c>
      <c r="C220" s="2">
        <v>1</v>
      </c>
      <c r="D220" s="2">
        <v>60</v>
      </c>
      <c r="E220" s="2">
        <v>60</v>
      </c>
      <c r="F220" s="3" t="str">
        <f>PROPER(Table13[[#This Row],[Product Name(RAW)]])</f>
        <v xml:space="preserve">6M Pancham </v>
      </c>
      <c r="G220" s="3" t="str">
        <f>TEXT(Table13[[#This Row],[Date]],"dddd")</f>
        <v>Friday</v>
      </c>
      <c r="H220" s="3" t="str">
        <f t="shared" si="6"/>
        <v>Week 2</v>
      </c>
      <c r="I220" s="3" t="str">
        <f t="shared" si="7"/>
        <v>08-14</v>
      </c>
    </row>
    <row r="221" spans="1:9" ht="18.75" x14ac:dyDescent="0.3">
      <c r="A221" s="1">
        <v>46185</v>
      </c>
      <c r="B221" s="2" t="s">
        <v>142</v>
      </c>
      <c r="C221" s="2">
        <v>15</v>
      </c>
      <c r="D221" s="2">
        <v>12</v>
      </c>
      <c r="E221" s="2">
        <v>180</v>
      </c>
      <c r="F221" s="3" t="str">
        <f>PROPER(Table13[[#This Row],[Product Name(RAW)]])</f>
        <v xml:space="preserve">Patti Junction </v>
      </c>
      <c r="G221" s="3" t="str">
        <f>TEXT(Table13[[#This Row],[Date]],"dddd")</f>
        <v>Friday</v>
      </c>
      <c r="H221" s="3" t="str">
        <f t="shared" si="6"/>
        <v>Week 2</v>
      </c>
      <c r="I221" s="3" t="str">
        <f t="shared" si="7"/>
        <v>08-14</v>
      </c>
    </row>
    <row r="222" spans="1:9" ht="18.75" x14ac:dyDescent="0.3">
      <c r="A222" s="1">
        <v>46185</v>
      </c>
      <c r="B222" s="2" t="s">
        <v>132</v>
      </c>
      <c r="C222" s="2">
        <v>1</v>
      </c>
      <c r="D222" s="2">
        <v>2300</v>
      </c>
      <c r="E222" s="2">
        <v>2300</v>
      </c>
      <c r="F222" s="3" t="str">
        <f>PROPER(Table13[[#This Row],[Product Name(RAW)]])</f>
        <v>1.5 Mm Rr Wire</v>
      </c>
      <c r="G222" s="3" t="str">
        <f>TEXT(Table13[[#This Row],[Date]],"dddd")</f>
        <v>Friday</v>
      </c>
      <c r="H222" s="3" t="str">
        <f t="shared" si="6"/>
        <v>Week 2</v>
      </c>
      <c r="I222" s="3" t="str">
        <f t="shared" si="7"/>
        <v>08-14</v>
      </c>
    </row>
    <row r="223" spans="1:9" ht="18.75" x14ac:dyDescent="0.3">
      <c r="A223" s="1">
        <v>46185</v>
      </c>
      <c r="B223" s="2" t="s">
        <v>109</v>
      </c>
      <c r="C223" s="2">
        <v>10</v>
      </c>
      <c r="D223" s="2">
        <v>30</v>
      </c>
      <c r="E223" s="2">
        <v>300</v>
      </c>
      <c r="F223" s="3" t="str">
        <f>PROPER(Table13[[#This Row],[Product Name(RAW)]])</f>
        <v xml:space="preserve">A Holder </v>
      </c>
      <c r="G223" s="3" t="str">
        <f>TEXT(Table13[[#This Row],[Date]],"dddd")</f>
        <v>Friday</v>
      </c>
      <c r="H223" s="3" t="str">
        <f t="shared" si="6"/>
        <v>Week 2</v>
      </c>
      <c r="I223" s="3" t="str">
        <f t="shared" si="7"/>
        <v>08-14</v>
      </c>
    </row>
    <row r="224" spans="1:9" ht="18.75" x14ac:dyDescent="0.3">
      <c r="A224" s="1">
        <v>46185</v>
      </c>
      <c r="B224" s="2" t="s">
        <v>269</v>
      </c>
      <c r="C224" s="2">
        <v>30</v>
      </c>
      <c r="D224" s="2">
        <v>15</v>
      </c>
      <c r="E224" s="2">
        <v>450</v>
      </c>
      <c r="F224" s="3" t="str">
        <f>PROPER(Table13[[#This Row],[Product Name(RAW)]])</f>
        <v xml:space="preserve">6A Switch </v>
      </c>
      <c r="G224" s="3" t="str">
        <f>TEXT(Table13[[#This Row],[Date]],"dddd")</f>
        <v>Friday</v>
      </c>
      <c r="H224" s="3" t="str">
        <f t="shared" si="6"/>
        <v>Week 2</v>
      </c>
      <c r="I224" s="3" t="str">
        <f t="shared" si="7"/>
        <v>08-14</v>
      </c>
    </row>
    <row r="225" spans="1:9" ht="18.75" x14ac:dyDescent="0.3">
      <c r="A225" s="1">
        <v>46185</v>
      </c>
      <c r="B225" s="2" t="s">
        <v>28</v>
      </c>
      <c r="C225" s="2">
        <v>15</v>
      </c>
      <c r="D225" s="2">
        <v>35</v>
      </c>
      <c r="E225" s="2">
        <v>525</v>
      </c>
      <c r="F225" s="3" t="str">
        <f>PROPER(Table13[[#This Row],[Product Name(RAW)]])</f>
        <v xml:space="preserve">6A Plug </v>
      </c>
      <c r="G225" s="3" t="str">
        <f>TEXT(Table13[[#This Row],[Date]],"dddd")</f>
        <v>Friday</v>
      </c>
      <c r="H225" s="3" t="str">
        <f t="shared" si="6"/>
        <v>Week 2</v>
      </c>
      <c r="I225" s="3" t="str">
        <f t="shared" si="7"/>
        <v>08-14</v>
      </c>
    </row>
    <row r="226" spans="1:9" ht="18.75" x14ac:dyDescent="0.3">
      <c r="A226" s="1">
        <v>46185</v>
      </c>
      <c r="B226" s="2" t="s">
        <v>115</v>
      </c>
      <c r="C226" s="2">
        <v>3</v>
      </c>
      <c r="D226" s="2">
        <v>80</v>
      </c>
      <c r="E226" s="2">
        <v>240</v>
      </c>
      <c r="F226" s="3" t="str">
        <f>PROPER(Table13[[#This Row],[Product Name(RAW)]])</f>
        <v xml:space="preserve">1M Regulator </v>
      </c>
      <c r="G226" s="3" t="str">
        <f>TEXT(Table13[[#This Row],[Date]],"dddd")</f>
        <v>Friday</v>
      </c>
      <c r="H226" s="3" t="str">
        <f t="shared" si="6"/>
        <v>Week 2</v>
      </c>
      <c r="I226" s="3" t="str">
        <f t="shared" si="7"/>
        <v>08-14</v>
      </c>
    </row>
    <row r="227" spans="1:9" ht="18.75" x14ac:dyDescent="0.3">
      <c r="A227" s="1">
        <v>46185</v>
      </c>
      <c r="B227" s="2" t="s">
        <v>143</v>
      </c>
      <c r="C227" s="2">
        <v>1</v>
      </c>
      <c r="D227" s="2">
        <v>110</v>
      </c>
      <c r="E227" s="2">
        <v>110</v>
      </c>
      <c r="F227" s="3" t="str">
        <f>PROPER(Table13[[#This Row],[Product Name(RAW)]])</f>
        <v xml:space="preserve">35/8 Sru Box </v>
      </c>
      <c r="G227" s="3" t="str">
        <f>TEXT(Table13[[#This Row],[Date]],"dddd")</f>
        <v>Friday</v>
      </c>
      <c r="H227" s="3" t="str">
        <f t="shared" si="6"/>
        <v>Week 2</v>
      </c>
      <c r="I227" s="3" t="str">
        <f t="shared" si="7"/>
        <v>08-14</v>
      </c>
    </row>
    <row r="228" spans="1:9" ht="18.75" x14ac:dyDescent="0.3">
      <c r="A228" s="1">
        <v>46185</v>
      </c>
      <c r="B228" s="2" t="s">
        <v>144</v>
      </c>
      <c r="C228" s="2">
        <v>2</v>
      </c>
      <c r="D228" s="2">
        <v>15</v>
      </c>
      <c r="E228" s="2">
        <v>30</v>
      </c>
      <c r="F228" s="3" t="str">
        <f>PROPER(Table13[[#This Row],[Product Name(RAW)]])</f>
        <v>50/8 Sru</v>
      </c>
      <c r="G228" s="3" t="str">
        <f>TEXT(Table13[[#This Row],[Date]],"dddd")</f>
        <v>Friday</v>
      </c>
      <c r="H228" s="3" t="str">
        <f t="shared" si="6"/>
        <v>Week 2</v>
      </c>
      <c r="I228" s="3" t="str">
        <f t="shared" si="7"/>
        <v>08-14</v>
      </c>
    </row>
    <row r="229" spans="1:9" ht="18.75" x14ac:dyDescent="0.3">
      <c r="A229" s="1">
        <v>46185</v>
      </c>
      <c r="B229" s="4" t="s">
        <v>46</v>
      </c>
      <c r="C229" s="4">
        <v>6</v>
      </c>
      <c r="D229" s="4">
        <v>10</v>
      </c>
      <c r="E229" s="4">
        <v>60</v>
      </c>
      <c r="F229" s="3" t="str">
        <f>PROPER(Table13[[#This Row],[Product Name(RAW)]])</f>
        <v xml:space="preserve">Grip </v>
      </c>
      <c r="G229" s="3" t="str">
        <f>TEXT(Table13[[#This Row],[Date]],"dddd")</f>
        <v>Friday</v>
      </c>
      <c r="H229" s="3" t="str">
        <f t="shared" si="6"/>
        <v>Week 2</v>
      </c>
      <c r="I229" s="3" t="str">
        <f t="shared" si="7"/>
        <v>08-14</v>
      </c>
    </row>
    <row r="230" spans="1:9" ht="18.75" x14ac:dyDescent="0.3">
      <c r="A230" s="1">
        <v>46185</v>
      </c>
      <c r="B230" s="4" t="s">
        <v>31</v>
      </c>
      <c r="C230" s="4">
        <v>2</v>
      </c>
      <c r="D230" s="4">
        <v>10</v>
      </c>
      <c r="E230" s="4">
        <v>20</v>
      </c>
      <c r="F230" s="3" t="str">
        <f>PROPER(Table13[[#This Row],[Product Name(RAW)]])</f>
        <v xml:space="preserve">Tep </v>
      </c>
      <c r="G230" s="3" t="str">
        <f>TEXT(Table13[[#This Row],[Date]],"dddd")</f>
        <v>Friday</v>
      </c>
      <c r="H230" s="3" t="str">
        <f t="shared" si="6"/>
        <v>Week 2</v>
      </c>
      <c r="I230" s="3" t="str">
        <f t="shared" si="7"/>
        <v>08-14</v>
      </c>
    </row>
    <row r="231" spans="1:9" ht="18.75" x14ac:dyDescent="0.3">
      <c r="A231" s="1">
        <v>46185</v>
      </c>
      <c r="B231" s="4" t="s">
        <v>145</v>
      </c>
      <c r="C231" s="3">
        <v>1</v>
      </c>
      <c r="D231" s="4">
        <v>20</v>
      </c>
      <c r="E231" s="4">
        <v>320</v>
      </c>
      <c r="F231" s="3" t="str">
        <f>PROPER(Table13[[#This Row],[Product Name(RAW)]])</f>
        <v xml:space="preserve">25Mm Flexiable Pipe </v>
      </c>
      <c r="G231" s="3" t="str">
        <f>TEXT(Table13[[#This Row],[Date]],"dddd")</f>
        <v>Friday</v>
      </c>
      <c r="H231" s="3" t="str">
        <f t="shared" si="6"/>
        <v>Week 2</v>
      </c>
      <c r="I231" s="3" t="str">
        <f t="shared" si="7"/>
        <v>08-14</v>
      </c>
    </row>
    <row r="232" spans="1:9" ht="18.75" x14ac:dyDescent="0.3">
      <c r="A232" s="1">
        <v>46185</v>
      </c>
      <c r="B232" s="4" t="s">
        <v>146</v>
      </c>
      <c r="C232" s="3">
        <v>1</v>
      </c>
      <c r="D232" s="4">
        <v>70</v>
      </c>
      <c r="E232" s="4">
        <v>70</v>
      </c>
      <c r="F232" s="3" t="str">
        <f>PROPER(Table13[[#This Row],[Product Name(RAW)]])</f>
        <v xml:space="preserve">Cuttar </v>
      </c>
      <c r="G232" s="3" t="str">
        <f>TEXT(Table13[[#This Row],[Date]],"dddd")</f>
        <v>Friday</v>
      </c>
      <c r="H232" s="3" t="str">
        <f t="shared" si="6"/>
        <v>Week 2</v>
      </c>
      <c r="I232" s="3" t="str">
        <f t="shared" si="7"/>
        <v>08-14</v>
      </c>
    </row>
    <row r="233" spans="1:9" ht="18.75" x14ac:dyDescent="0.3">
      <c r="A233" s="1">
        <v>46185</v>
      </c>
      <c r="B233" s="4" t="s">
        <v>8</v>
      </c>
      <c r="C233" s="3">
        <v>1</v>
      </c>
      <c r="D233" s="4">
        <v>150</v>
      </c>
      <c r="E233" s="4">
        <v>150</v>
      </c>
      <c r="F233" s="3" t="str">
        <f>PROPER(Table13[[#This Row],[Product Name(RAW)]])</f>
        <v xml:space="preserve">Power Plate </v>
      </c>
      <c r="G233" s="3" t="str">
        <f>TEXT(Table13[[#This Row],[Date]],"dddd")</f>
        <v>Friday</v>
      </c>
      <c r="H233" s="3" t="str">
        <f t="shared" si="6"/>
        <v>Week 2</v>
      </c>
      <c r="I233" s="3" t="str">
        <f t="shared" si="7"/>
        <v>08-14</v>
      </c>
    </row>
    <row r="234" spans="1:9" ht="18.75" x14ac:dyDescent="0.3">
      <c r="A234" s="1">
        <v>46185</v>
      </c>
      <c r="B234" s="4" t="s">
        <v>147</v>
      </c>
      <c r="C234" s="3">
        <v>1</v>
      </c>
      <c r="D234" s="4">
        <v>310</v>
      </c>
      <c r="E234" s="4">
        <v>310</v>
      </c>
      <c r="F234" s="3" t="str">
        <f>PROPER(Table13[[#This Row],[Product Name(RAW)]])</f>
        <v xml:space="preserve">9Wcharging Light </v>
      </c>
      <c r="G234" s="3" t="str">
        <f>TEXT(Table13[[#This Row],[Date]],"dddd")</f>
        <v>Friday</v>
      </c>
      <c r="H234" s="3" t="str">
        <f t="shared" si="6"/>
        <v>Week 2</v>
      </c>
      <c r="I234" s="3" t="str">
        <f t="shared" si="7"/>
        <v>08-14</v>
      </c>
    </row>
    <row r="235" spans="1:9" ht="18.75" x14ac:dyDescent="0.3">
      <c r="A235" s="1">
        <v>46185</v>
      </c>
      <c r="B235" s="4" t="s">
        <v>111</v>
      </c>
      <c r="C235" s="3">
        <v>1</v>
      </c>
      <c r="D235" s="4">
        <v>30</v>
      </c>
      <c r="E235" s="4">
        <v>30</v>
      </c>
      <c r="F235" s="3" t="str">
        <f>PROPER(Table13[[#This Row],[Product Name(RAW)]])</f>
        <v xml:space="preserve">Nita Coil </v>
      </c>
      <c r="G235" s="3" t="str">
        <f>TEXT(Table13[[#This Row],[Date]],"dddd")</f>
        <v>Friday</v>
      </c>
      <c r="H235" s="3" t="str">
        <f t="shared" si="6"/>
        <v>Week 2</v>
      </c>
      <c r="I235" s="3" t="str">
        <f t="shared" si="7"/>
        <v>08-14</v>
      </c>
    </row>
    <row r="236" spans="1:9" ht="18.75" x14ac:dyDescent="0.3">
      <c r="A236" s="1">
        <v>46185</v>
      </c>
      <c r="B236" s="4" t="s">
        <v>148</v>
      </c>
      <c r="C236" s="3">
        <v>5</v>
      </c>
      <c r="D236" s="4">
        <v>70</v>
      </c>
      <c r="E236" s="4">
        <v>350</v>
      </c>
      <c r="F236" s="3" t="str">
        <f>PROPER(Table13[[#This Row],[Product Name(RAW)]])</f>
        <v xml:space="preserve">Mms Pipe </v>
      </c>
      <c r="G236" s="3" t="str">
        <f>TEXT(Table13[[#This Row],[Date]],"dddd")</f>
        <v>Friday</v>
      </c>
      <c r="H236" s="3" t="str">
        <f t="shared" si="6"/>
        <v>Week 2</v>
      </c>
      <c r="I236" s="3" t="str">
        <f t="shared" si="7"/>
        <v>08-14</v>
      </c>
    </row>
    <row r="237" spans="1:9" ht="18.75" x14ac:dyDescent="0.3">
      <c r="A237" s="1">
        <v>46185</v>
      </c>
      <c r="B237" s="4" t="s">
        <v>149</v>
      </c>
      <c r="C237" s="3">
        <v>20</v>
      </c>
      <c r="D237" s="4">
        <v>10</v>
      </c>
      <c r="E237" s="4">
        <v>200</v>
      </c>
      <c r="F237" s="3" t="str">
        <f>PROPER(Table13[[#This Row],[Product Name(RAW)]])</f>
        <v>Bend</v>
      </c>
      <c r="G237" s="3" t="str">
        <f>TEXT(Table13[[#This Row],[Date]],"dddd")</f>
        <v>Friday</v>
      </c>
      <c r="H237" s="3" t="str">
        <f t="shared" si="6"/>
        <v>Week 2</v>
      </c>
      <c r="I237" s="3" t="str">
        <f t="shared" si="7"/>
        <v>08-14</v>
      </c>
    </row>
    <row r="238" spans="1:9" ht="18.75" x14ac:dyDescent="0.3">
      <c r="A238" s="1">
        <v>46185</v>
      </c>
      <c r="B238" s="4" t="s">
        <v>150</v>
      </c>
      <c r="C238" s="3">
        <v>21</v>
      </c>
      <c r="D238" s="4">
        <v>12</v>
      </c>
      <c r="E238" s="4">
        <v>250</v>
      </c>
      <c r="F238" s="3" t="str">
        <f>PROPER(Table13[[#This Row],[Product Name(RAW)]])</f>
        <v xml:space="preserve">Junction </v>
      </c>
      <c r="G238" s="3" t="str">
        <f>TEXT(Table13[[#This Row],[Date]],"dddd")</f>
        <v>Friday</v>
      </c>
      <c r="H238" s="3" t="str">
        <f t="shared" si="6"/>
        <v>Week 2</v>
      </c>
      <c r="I238" s="3" t="str">
        <f t="shared" si="7"/>
        <v>08-14</v>
      </c>
    </row>
    <row r="239" spans="1:9" ht="18.75" x14ac:dyDescent="0.3">
      <c r="A239" s="1">
        <v>46185</v>
      </c>
      <c r="B239" s="4" t="s">
        <v>31</v>
      </c>
      <c r="C239" s="3">
        <v>6</v>
      </c>
      <c r="D239" s="4">
        <v>10</v>
      </c>
      <c r="E239" s="4">
        <v>60</v>
      </c>
      <c r="F239" s="3" t="str">
        <f>PROPER(Table13[[#This Row],[Product Name(RAW)]])</f>
        <v xml:space="preserve">Tep </v>
      </c>
      <c r="G239" s="3" t="str">
        <f>TEXT(Table13[[#This Row],[Date]],"dddd")</f>
        <v>Friday</v>
      </c>
      <c r="H239" s="3" t="str">
        <f t="shared" si="6"/>
        <v>Week 2</v>
      </c>
      <c r="I239" s="3" t="str">
        <f t="shared" si="7"/>
        <v>08-14</v>
      </c>
    </row>
    <row r="240" spans="1:9" ht="18.75" x14ac:dyDescent="0.3">
      <c r="A240" s="1">
        <v>46185</v>
      </c>
      <c r="B240" s="4" t="s">
        <v>151</v>
      </c>
      <c r="C240" s="3">
        <v>2</v>
      </c>
      <c r="D240" s="4">
        <v>70</v>
      </c>
      <c r="E240" s="4">
        <v>140</v>
      </c>
      <c r="F240" s="3" t="str">
        <f>PROPER(Table13[[#This Row],[Product Name(RAW)]])</f>
        <v xml:space="preserve">Fan Box </v>
      </c>
      <c r="G240" s="3" t="str">
        <f>TEXT(Table13[[#This Row],[Date]],"dddd")</f>
        <v>Friday</v>
      </c>
      <c r="H240" s="3" t="str">
        <f t="shared" si="6"/>
        <v>Week 2</v>
      </c>
      <c r="I240" s="3" t="str">
        <f t="shared" si="7"/>
        <v>08-14</v>
      </c>
    </row>
    <row r="241" spans="1:9" ht="18.75" x14ac:dyDescent="0.3">
      <c r="A241" s="1">
        <v>46185</v>
      </c>
      <c r="B241" s="4" t="s">
        <v>269</v>
      </c>
      <c r="C241" s="3">
        <v>1</v>
      </c>
      <c r="D241" s="4">
        <v>10</v>
      </c>
      <c r="E241" s="4">
        <v>10</v>
      </c>
      <c r="F241" s="3" t="str">
        <f>PROPER(Table13[[#This Row],[Product Name(RAW)]])</f>
        <v xml:space="preserve">6A Switch </v>
      </c>
      <c r="G241" s="3" t="str">
        <f>TEXT(Table13[[#This Row],[Date]],"dddd")</f>
        <v>Friday</v>
      </c>
      <c r="H241" s="3" t="str">
        <f t="shared" si="6"/>
        <v>Week 2</v>
      </c>
      <c r="I241" s="3" t="str">
        <f t="shared" si="7"/>
        <v>08-14</v>
      </c>
    </row>
    <row r="242" spans="1:9" ht="18.75" x14ac:dyDescent="0.3">
      <c r="A242" s="5">
        <v>46185</v>
      </c>
      <c r="B242" s="4" t="s">
        <v>4</v>
      </c>
      <c r="C242" s="3">
        <v>1</v>
      </c>
      <c r="D242" s="4">
        <v>100</v>
      </c>
      <c r="E242" s="4">
        <v>100</v>
      </c>
      <c r="F242" s="3" t="str">
        <f>PROPER(Table13[[#This Row],[Product Name(RAW)]])</f>
        <v xml:space="preserve">12W Halonex Light </v>
      </c>
      <c r="G242" s="3" t="str">
        <f>TEXT(Table13[[#This Row],[Date]],"dddd")</f>
        <v>Friday</v>
      </c>
      <c r="H242" s="3" t="str">
        <f t="shared" si="6"/>
        <v>Week 2</v>
      </c>
      <c r="I242" s="3" t="str">
        <f t="shared" si="7"/>
        <v>08-14</v>
      </c>
    </row>
    <row r="243" spans="1:9" ht="18.75" x14ac:dyDescent="0.3">
      <c r="A243" s="5">
        <v>46186</v>
      </c>
      <c r="B243" s="4" t="s">
        <v>141</v>
      </c>
      <c r="C243" s="3">
        <v>1</v>
      </c>
      <c r="D243" s="4">
        <v>60</v>
      </c>
      <c r="E243" s="4">
        <v>60</v>
      </c>
      <c r="F243" s="3" t="str">
        <f>PROPER(Table13[[#This Row],[Product Name(RAW)]])</f>
        <v xml:space="preserve">6M Pancham </v>
      </c>
      <c r="G243" s="3" t="str">
        <f>TEXT(Table13[[#This Row],[Date]],"dddd")</f>
        <v>Saturday</v>
      </c>
      <c r="H243" s="3" t="str">
        <f t="shared" si="6"/>
        <v>Week 2</v>
      </c>
      <c r="I243" s="3" t="str">
        <f t="shared" si="7"/>
        <v>08-14</v>
      </c>
    </row>
    <row r="244" spans="1:9" ht="18.75" x14ac:dyDescent="0.3">
      <c r="A244" s="5">
        <v>46186</v>
      </c>
      <c r="B244" s="4" t="s">
        <v>269</v>
      </c>
      <c r="C244" s="3">
        <v>3</v>
      </c>
      <c r="D244" s="4">
        <v>15</v>
      </c>
      <c r="E244" s="4">
        <v>45</v>
      </c>
      <c r="F244" s="3" t="str">
        <f>PROPER(Table13[[#This Row],[Product Name(RAW)]])</f>
        <v xml:space="preserve">6A Switch </v>
      </c>
      <c r="G244" s="3" t="str">
        <f>TEXT(Table13[[#This Row],[Date]],"dddd")</f>
        <v>Saturday</v>
      </c>
      <c r="H244" s="3" t="str">
        <f t="shared" si="6"/>
        <v>Week 2</v>
      </c>
      <c r="I244" s="3" t="str">
        <f t="shared" si="7"/>
        <v>08-14</v>
      </c>
    </row>
    <row r="245" spans="1:9" ht="18.75" x14ac:dyDescent="0.3">
      <c r="A245" s="5">
        <v>46186</v>
      </c>
      <c r="B245" s="4" t="s">
        <v>28</v>
      </c>
      <c r="C245" s="3">
        <v>8</v>
      </c>
      <c r="D245" s="4">
        <v>280</v>
      </c>
      <c r="E245" s="4">
        <v>280</v>
      </c>
      <c r="F245" s="3" t="str">
        <f>PROPER(Table13[[#This Row],[Product Name(RAW)]])</f>
        <v xml:space="preserve">6A Plug </v>
      </c>
      <c r="G245" s="3" t="str">
        <f>TEXT(Table13[[#This Row],[Date]],"dddd")</f>
        <v>Saturday</v>
      </c>
      <c r="H245" s="3" t="str">
        <f t="shared" si="6"/>
        <v>Week 2</v>
      </c>
      <c r="I245" s="3" t="str">
        <f t="shared" si="7"/>
        <v>08-14</v>
      </c>
    </row>
    <row r="246" spans="1:9" ht="18.75" x14ac:dyDescent="0.3">
      <c r="A246" s="5">
        <v>46186</v>
      </c>
      <c r="B246" s="4" t="s">
        <v>96</v>
      </c>
      <c r="C246" s="3">
        <v>8</v>
      </c>
      <c r="D246" s="4">
        <v>18</v>
      </c>
      <c r="E246" s="4">
        <v>144</v>
      </c>
      <c r="F246" s="3" t="str">
        <f>PROPER(Table13[[#This Row],[Product Name(RAW)]])</f>
        <v xml:space="preserve">1Mm Rr </v>
      </c>
      <c r="G246" s="3" t="str">
        <f>TEXT(Table13[[#This Row],[Date]],"dddd")</f>
        <v>Saturday</v>
      </c>
      <c r="H246" s="3" t="str">
        <f t="shared" si="6"/>
        <v>Week 2</v>
      </c>
      <c r="I246" s="3" t="str">
        <f t="shared" si="7"/>
        <v>08-14</v>
      </c>
    </row>
    <row r="247" spans="1:9" ht="18.75" x14ac:dyDescent="0.3">
      <c r="A247" s="5">
        <v>46186</v>
      </c>
      <c r="B247" s="4" t="s">
        <v>142</v>
      </c>
      <c r="C247" s="3">
        <v>2</v>
      </c>
      <c r="D247" s="4">
        <v>40</v>
      </c>
      <c r="E247" s="4">
        <v>80</v>
      </c>
      <c r="F247" s="3" t="str">
        <f>PROPER(Table13[[#This Row],[Product Name(RAW)]])</f>
        <v xml:space="preserve">Patti Junction </v>
      </c>
      <c r="G247" s="3" t="str">
        <f>TEXT(Table13[[#This Row],[Date]],"dddd")</f>
        <v>Saturday</v>
      </c>
      <c r="H247" s="3" t="str">
        <f t="shared" si="6"/>
        <v>Week 2</v>
      </c>
      <c r="I247" s="3" t="str">
        <f t="shared" si="7"/>
        <v>08-14</v>
      </c>
    </row>
    <row r="248" spans="1:9" ht="18.75" x14ac:dyDescent="0.3">
      <c r="A248" s="5">
        <v>46186</v>
      </c>
      <c r="B248" s="4" t="s">
        <v>19</v>
      </c>
      <c r="C248" s="3">
        <v>1</v>
      </c>
      <c r="D248" s="4">
        <v>120</v>
      </c>
      <c r="E248" s="4">
        <v>120</v>
      </c>
      <c r="F248" s="3" t="str">
        <f>PROPER(Table13[[#This Row],[Product Name(RAW)]])</f>
        <v xml:space="preserve">Cona Dp Switch </v>
      </c>
      <c r="G248" s="3" t="str">
        <f>TEXT(Table13[[#This Row],[Date]],"dddd")</f>
        <v>Saturday</v>
      </c>
      <c r="H248" s="3" t="str">
        <f t="shared" si="6"/>
        <v>Week 2</v>
      </c>
      <c r="I248" s="3" t="str">
        <f t="shared" si="7"/>
        <v>08-14</v>
      </c>
    </row>
    <row r="249" spans="1:9" ht="18.75" x14ac:dyDescent="0.3">
      <c r="A249" s="5">
        <v>46186</v>
      </c>
      <c r="B249" s="4" t="s">
        <v>111</v>
      </c>
      <c r="C249" s="3">
        <v>2</v>
      </c>
      <c r="D249" s="4">
        <v>30</v>
      </c>
      <c r="E249" s="4">
        <v>60</v>
      </c>
      <c r="F249" s="3" t="str">
        <f>PROPER(Table13[[#This Row],[Product Name(RAW)]])</f>
        <v xml:space="preserve">Nita Coil </v>
      </c>
      <c r="G249" s="3" t="str">
        <f>TEXT(Table13[[#This Row],[Date]],"dddd")</f>
        <v>Saturday</v>
      </c>
      <c r="H249" s="3" t="str">
        <f t="shared" si="6"/>
        <v>Week 2</v>
      </c>
      <c r="I249" s="3" t="str">
        <f t="shared" si="7"/>
        <v>08-14</v>
      </c>
    </row>
    <row r="250" spans="1:9" ht="18.75" x14ac:dyDescent="0.3">
      <c r="A250" s="5">
        <v>46186</v>
      </c>
      <c r="B250" s="4" t="s">
        <v>111</v>
      </c>
      <c r="C250" s="3">
        <v>1</v>
      </c>
      <c r="D250" s="4">
        <v>40</v>
      </c>
      <c r="E250" s="4">
        <v>40</v>
      </c>
      <c r="F250" s="3" t="str">
        <f>PROPER(Table13[[#This Row],[Product Name(RAW)]])</f>
        <v xml:space="preserve">Nita Coil </v>
      </c>
      <c r="G250" s="3" t="str">
        <f>TEXT(Table13[[#This Row],[Date]],"dddd")</f>
        <v>Saturday</v>
      </c>
      <c r="H250" s="3" t="str">
        <f t="shared" si="6"/>
        <v>Week 2</v>
      </c>
      <c r="I250" s="3" t="str">
        <f t="shared" si="7"/>
        <v>08-14</v>
      </c>
    </row>
    <row r="251" spans="1:9" ht="18.75" x14ac:dyDescent="0.3">
      <c r="A251" s="5">
        <v>46186</v>
      </c>
      <c r="B251" s="4" t="s">
        <v>4</v>
      </c>
      <c r="C251" s="3">
        <v>1</v>
      </c>
      <c r="D251" s="4">
        <v>100</v>
      </c>
      <c r="E251" s="4">
        <v>100</v>
      </c>
      <c r="F251" s="3" t="str">
        <f>PROPER(Table13[[#This Row],[Product Name(RAW)]])</f>
        <v xml:space="preserve">12W Halonex Light </v>
      </c>
      <c r="G251" s="3" t="str">
        <f>TEXT(Table13[[#This Row],[Date]],"dddd")</f>
        <v>Saturday</v>
      </c>
      <c r="H251" s="3" t="str">
        <f t="shared" si="6"/>
        <v>Week 2</v>
      </c>
      <c r="I251" s="3" t="str">
        <f t="shared" si="7"/>
        <v>08-14</v>
      </c>
    </row>
    <row r="252" spans="1:9" ht="18.75" x14ac:dyDescent="0.3">
      <c r="A252" s="5">
        <v>46186</v>
      </c>
      <c r="B252" s="4" t="s">
        <v>17</v>
      </c>
      <c r="C252" s="3">
        <v>10</v>
      </c>
      <c r="D252" s="4">
        <v>28</v>
      </c>
      <c r="E252" s="4">
        <v>280</v>
      </c>
      <c r="F252" s="3" t="str">
        <f>PROPER(Table13[[#This Row],[Product Name(RAW)]])</f>
        <v xml:space="preserve">2.5 Capacitor </v>
      </c>
      <c r="G252" s="3" t="str">
        <f>TEXT(Table13[[#This Row],[Date]],"dddd")</f>
        <v>Saturday</v>
      </c>
      <c r="H252" s="3" t="str">
        <f t="shared" si="6"/>
        <v>Week 2</v>
      </c>
      <c r="I252" s="3" t="str">
        <f t="shared" si="7"/>
        <v>08-14</v>
      </c>
    </row>
    <row r="253" spans="1:9" ht="18.75" x14ac:dyDescent="0.3">
      <c r="A253" s="5">
        <v>46187</v>
      </c>
      <c r="B253" s="4" t="s">
        <v>132</v>
      </c>
      <c r="C253" s="3">
        <v>10</v>
      </c>
      <c r="D253" s="4">
        <v>28</v>
      </c>
      <c r="E253" s="4">
        <v>280</v>
      </c>
      <c r="F253" s="3" t="str">
        <f>PROPER(Table13[[#This Row],[Product Name(RAW)]])</f>
        <v>1.5 Mm Rr Wire</v>
      </c>
      <c r="G253" s="3" t="str">
        <f>TEXT(Table13[[#This Row],[Date]],"dddd")</f>
        <v>Sunday</v>
      </c>
      <c r="H253" s="3" t="str">
        <f t="shared" si="6"/>
        <v>Week 2</v>
      </c>
      <c r="I253" s="3" t="str">
        <f t="shared" si="7"/>
        <v>08-14</v>
      </c>
    </row>
    <row r="254" spans="1:9" ht="18.75" x14ac:dyDescent="0.3">
      <c r="A254" s="5">
        <v>46187</v>
      </c>
      <c r="B254" s="4" t="s">
        <v>152</v>
      </c>
      <c r="C254" s="3">
        <v>45</v>
      </c>
      <c r="D254" s="4">
        <v>18</v>
      </c>
      <c r="E254" s="4">
        <v>810</v>
      </c>
      <c r="F254" s="3" t="str">
        <f>PROPER(Table13[[#This Row],[Product Name(RAW)]])</f>
        <v xml:space="preserve">1.Mm Rr Wire </v>
      </c>
      <c r="G254" s="3" t="str">
        <f>TEXT(Table13[[#This Row],[Date]],"dddd")</f>
        <v>Sunday</v>
      </c>
      <c r="H254" s="3" t="str">
        <f t="shared" si="6"/>
        <v>Week 2</v>
      </c>
      <c r="I254" s="3" t="str">
        <f t="shared" si="7"/>
        <v>08-14</v>
      </c>
    </row>
    <row r="255" spans="1:9" ht="18.75" x14ac:dyDescent="0.3">
      <c r="A255" s="5">
        <v>46187</v>
      </c>
      <c r="B255" s="4" t="s">
        <v>69</v>
      </c>
      <c r="C255" s="3">
        <v>1</v>
      </c>
      <c r="D255" s="4">
        <v>40</v>
      </c>
      <c r="E255" s="4">
        <v>40</v>
      </c>
      <c r="F255" s="3" t="str">
        <f>PROPER(Table13[[#This Row],[Product Name(RAW)]])</f>
        <v xml:space="preserve">3M Pancham </v>
      </c>
      <c r="G255" s="3" t="str">
        <f>TEXT(Table13[[#This Row],[Date]],"dddd")</f>
        <v>Sunday</v>
      </c>
      <c r="H255" s="3" t="str">
        <f t="shared" si="6"/>
        <v>Week 2</v>
      </c>
      <c r="I255" s="3" t="str">
        <f t="shared" si="7"/>
        <v>08-14</v>
      </c>
    </row>
    <row r="256" spans="1:9" ht="18.75" x14ac:dyDescent="0.3">
      <c r="A256" s="5">
        <v>46187</v>
      </c>
      <c r="B256" s="4" t="s">
        <v>271</v>
      </c>
      <c r="C256" s="3">
        <v>1</v>
      </c>
      <c r="D256" s="4">
        <v>50</v>
      </c>
      <c r="E256" s="4">
        <v>50</v>
      </c>
      <c r="F256" s="3" t="str">
        <f>PROPER(Table13[[#This Row],[Product Name(RAW)]])</f>
        <v xml:space="preserve">16A Switch </v>
      </c>
      <c r="G256" s="3" t="str">
        <f>TEXT(Table13[[#This Row],[Date]],"dddd")</f>
        <v>Sunday</v>
      </c>
      <c r="H256" s="3" t="str">
        <f t="shared" si="6"/>
        <v>Week 2</v>
      </c>
      <c r="I256" s="3" t="str">
        <f t="shared" si="7"/>
        <v>08-14</v>
      </c>
    </row>
    <row r="257" spans="1:9" ht="18.75" x14ac:dyDescent="0.3">
      <c r="A257" s="5">
        <v>46187</v>
      </c>
      <c r="B257" s="4" t="s">
        <v>62</v>
      </c>
      <c r="C257" s="3">
        <v>1</v>
      </c>
      <c r="D257" s="4">
        <v>80</v>
      </c>
      <c r="E257" s="4">
        <v>80</v>
      </c>
      <c r="F257" s="3" t="str">
        <f>PROPER(Table13[[#This Row],[Product Name(RAW)]])</f>
        <v xml:space="preserve">16A Plug Jiva </v>
      </c>
      <c r="G257" s="3" t="str">
        <f>TEXT(Table13[[#This Row],[Date]],"dddd")</f>
        <v>Sunday</v>
      </c>
      <c r="H257" s="3" t="str">
        <f t="shared" si="6"/>
        <v>Week 2</v>
      </c>
      <c r="I257" s="3" t="str">
        <f t="shared" si="7"/>
        <v>08-14</v>
      </c>
    </row>
    <row r="258" spans="1:9" ht="18.75" x14ac:dyDescent="0.3">
      <c r="A258" s="5">
        <v>46187</v>
      </c>
      <c r="B258" s="4" t="s">
        <v>153</v>
      </c>
      <c r="C258" s="3">
        <v>3</v>
      </c>
      <c r="D258" s="4">
        <v>15</v>
      </c>
      <c r="E258" s="4">
        <v>45</v>
      </c>
      <c r="F258" s="3" t="str">
        <f>PROPER(Table13[[#This Row],[Product Name(RAW)]])</f>
        <v xml:space="preserve">150 Mm Cable Tay </v>
      </c>
      <c r="G258" s="3" t="str">
        <f>TEXT(Table13[[#This Row],[Date]],"dddd")</f>
        <v>Sunday</v>
      </c>
      <c r="H258" s="3" t="str">
        <f t="shared" ref="H258:H321" si="8">"Week "&amp;ROUNDUP(DAY(A258)/7,0)</f>
        <v>Week 2</v>
      </c>
      <c r="I258" s="3" t="str">
        <f t="shared" ref="I258:I321" si="9">IF(DAY(A258)&lt;=7,"01-07",
IF(DAY(A258)&lt;=14,"08-14",
IF(DAY(A258)&lt;=21,"15-21",
IF(DAY(A258)&lt;=28,"22-28","29-30"))))</f>
        <v>08-14</v>
      </c>
    </row>
    <row r="259" spans="1:9" ht="18.75" x14ac:dyDescent="0.3">
      <c r="A259" s="5">
        <v>46187</v>
      </c>
      <c r="B259" s="4" t="s">
        <v>154</v>
      </c>
      <c r="C259" s="3">
        <v>1</v>
      </c>
      <c r="D259" s="4">
        <v>30</v>
      </c>
      <c r="E259" s="4">
        <v>30</v>
      </c>
      <c r="F259" s="3" t="str">
        <f>PROPER(Table13[[#This Row],[Product Name(RAW)]])</f>
        <v xml:space="preserve">0.5 W Light </v>
      </c>
      <c r="G259" s="3" t="str">
        <f>TEXT(Table13[[#This Row],[Date]],"dddd")</f>
        <v>Sunday</v>
      </c>
      <c r="H259" s="3" t="str">
        <f t="shared" si="8"/>
        <v>Week 2</v>
      </c>
      <c r="I259" s="3" t="str">
        <f t="shared" si="9"/>
        <v>08-14</v>
      </c>
    </row>
    <row r="260" spans="1:9" ht="18.75" x14ac:dyDescent="0.3">
      <c r="A260" s="5">
        <v>46187</v>
      </c>
      <c r="B260" s="4" t="s">
        <v>100</v>
      </c>
      <c r="C260" s="3">
        <v>1</v>
      </c>
      <c r="D260" s="4">
        <v>1700</v>
      </c>
      <c r="E260" s="4">
        <v>1700</v>
      </c>
      <c r="F260" s="3" t="str">
        <f>PROPER(Table13[[#This Row],[Product Name(RAW)]])</f>
        <v xml:space="preserve">Ecolink Fan </v>
      </c>
      <c r="G260" s="3" t="str">
        <f>TEXT(Table13[[#This Row],[Date]],"dddd")</f>
        <v>Sunday</v>
      </c>
      <c r="H260" s="3" t="str">
        <f t="shared" si="8"/>
        <v>Week 2</v>
      </c>
      <c r="I260" s="3" t="str">
        <f t="shared" si="9"/>
        <v>08-14</v>
      </c>
    </row>
    <row r="261" spans="1:9" ht="18.75" x14ac:dyDescent="0.3">
      <c r="A261" s="5">
        <v>46187</v>
      </c>
      <c r="B261" s="4" t="s">
        <v>5</v>
      </c>
      <c r="C261" s="3">
        <v>1</v>
      </c>
      <c r="D261" s="4">
        <v>2900</v>
      </c>
      <c r="E261" s="4">
        <v>2900</v>
      </c>
      <c r="F261" s="3" t="str">
        <f>PROPER(Table13[[#This Row],[Product Name(RAW)]])</f>
        <v xml:space="preserve">Crown 2500W Infra </v>
      </c>
      <c r="G261" s="3" t="str">
        <f>TEXT(Table13[[#This Row],[Date]],"dddd")</f>
        <v>Sunday</v>
      </c>
      <c r="H261" s="3" t="str">
        <f t="shared" si="8"/>
        <v>Week 2</v>
      </c>
      <c r="I261" s="3" t="str">
        <f t="shared" si="9"/>
        <v>08-14</v>
      </c>
    </row>
    <row r="262" spans="1:9" ht="18.75" x14ac:dyDescent="0.3">
      <c r="A262" s="5">
        <v>46187</v>
      </c>
      <c r="B262" s="4" t="s">
        <v>157</v>
      </c>
      <c r="C262" s="3">
        <v>2</v>
      </c>
      <c r="D262" s="4">
        <v>35</v>
      </c>
      <c r="E262" s="4">
        <v>70</v>
      </c>
      <c r="F262" s="3" t="str">
        <f>PROPER(Table13[[#This Row],[Product Name(RAW)]])</f>
        <v xml:space="preserve">Sada 6A Plug </v>
      </c>
      <c r="G262" s="3" t="str">
        <f>TEXT(Table13[[#This Row],[Date]],"dddd")</f>
        <v>Sunday</v>
      </c>
      <c r="H262" s="3" t="str">
        <f t="shared" si="8"/>
        <v>Week 2</v>
      </c>
      <c r="I262" s="3" t="str">
        <f t="shared" si="9"/>
        <v>08-14</v>
      </c>
    </row>
    <row r="263" spans="1:9" ht="18.75" x14ac:dyDescent="0.3">
      <c r="A263" s="5">
        <v>46187</v>
      </c>
      <c r="B263" s="4" t="s">
        <v>155</v>
      </c>
      <c r="C263" s="3">
        <v>1</v>
      </c>
      <c r="D263" s="4">
        <v>1450</v>
      </c>
      <c r="E263" s="4">
        <v>1450</v>
      </c>
      <c r="F263" s="3" t="str">
        <f>PROPER(Table13[[#This Row],[Product Name(RAW)]])</f>
        <v>Rolex King Hot Plate</v>
      </c>
      <c r="G263" s="3" t="str">
        <f>TEXT(Table13[[#This Row],[Date]],"dddd")</f>
        <v>Sunday</v>
      </c>
      <c r="H263" s="3" t="str">
        <f t="shared" si="8"/>
        <v>Week 2</v>
      </c>
      <c r="I263" s="3" t="str">
        <f t="shared" si="9"/>
        <v>08-14</v>
      </c>
    </row>
    <row r="264" spans="1:9" ht="18.75" x14ac:dyDescent="0.3">
      <c r="A264" s="5">
        <v>46187</v>
      </c>
      <c r="B264" s="4" t="s">
        <v>156</v>
      </c>
      <c r="C264" s="3">
        <v>40</v>
      </c>
      <c r="D264" s="4">
        <v>20</v>
      </c>
      <c r="E264" s="4">
        <v>800</v>
      </c>
      <c r="F264" s="3" t="str">
        <f>PROPER(Table13[[#This Row],[Product Name(RAW)]])</f>
        <v xml:space="preserve">6Mm Ss Wire </v>
      </c>
      <c r="G264" s="3" t="str">
        <f>TEXT(Table13[[#This Row],[Date]],"dddd")</f>
        <v>Sunday</v>
      </c>
      <c r="H264" s="3" t="str">
        <f t="shared" si="8"/>
        <v>Week 2</v>
      </c>
      <c r="I264" s="3" t="str">
        <f t="shared" si="9"/>
        <v>08-14</v>
      </c>
    </row>
    <row r="265" spans="1:9" ht="18.75" x14ac:dyDescent="0.3">
      <c r="A265" s="5">
        <v>46187</v>
      </c>
      <c r="B265" s="4" t="s">
        <v>111</v>
      </c>
      <c r="C265" s="3">
        <v>1</v>
      </c>
      <c r="D265" s="4">
        <v>30</v>
      </c>
      <c r="E265" s="4">
        <v>30</v>
      </c>
      <c r="F265" s="3" t="str">
        <f>PROPER(Table13[[#This Row],[Product Name(RAW)]])</f>
        <v xml:space="preserve">Nita Coil </v>
      </c>
      <c r="G265" s="3" t="str">
        <f>TEXT(Table13[[#This Row],[Date]],"dddd")</f>
        <v>Sunday</v>
      </c>
      <c r="H265" s="3" t="str">
        <f t="shared" si="8"/>
        <v>Week 2</v>
      </c>
      <c r="I265" s="3" t="str">
        <f t="shared" si="9"/>
        <v>08-14</v>
      </c>
    </row>
    <row r="266" spans="1:9" ht="18.75" x14ac:dyDescent="0.3">
      <c r="A266" s="5">
        <v>46187</v>
      </c>
      <c r="B266" s="4" t="s">
        <v>158</v>
      </c>
      <c r="C266" s="3">
        <v>25</v>
      </c>
      <c r="D266" s="4">
        <v>66</v>
      </c>
      <c r="E266" s="4">
        <v>1650</v>
      </c>
      <c r="F266" s="3" t="str">
        <f>PROPER(Table13[[#This Row],[Product Name(RAW)]])</f>
        <v xml:space="preserve">17Mm Profile Patti </v>
      </c>
      <c r="G266" s="3" t="str">
        <f>TEXT(Table13[[#This Row],[Date]],"dddd")</f>
        <v>Sunday</v>
      </c>
      <c r="H266" s="3" t="str">
        <f t="shared" si="8"/>
        <v>Week 2</v>
      </c>
      <c r="I266" s="3" t="str">
        <f t="shared" si="9"/>
        <v>08-14</v>
      </c>
    </row>
    <row r="267" spans="1:9" ht="18.75" x14ac:dyDescent="0.3">
      <c r="A267" s="5">
        <v>46188</v>
      </c>
      <c r="B267" s="4" t="s">
        <v>124</v>
      </c>
      <c r="C267" s="3">
        <v>1</v>
      </c>
      <c r="D267" s="4">
        <v>1550</v>
      </c>
      <c r="E267" s="4">
        <v>1550</v>
      </c>
      <c r="F267" s="3" t="str">
        <f>PROPER(Table13[[#This Row],[Product Name(RAW)]])</f>
        <v xml:space="preserve">1 Mm Rr Wire </v>
      </c>
      <c r="G267" s="3" t="str">
        <f>TEXT(Table13[[#This Row],[Date]],"dddd")</f>
        <v>Monday</v>
      </c>
      <c r="H267" s="3" t="str">
        <f t="shared" si="8"/>
        <v>Week 3</v>
      </c>
      <c r="I267" s="3" t="str">
        <f t="shared" si="9"/>
        <v>15-21</v>
      </c>
    </row>
    <row r="268" spans="1:9" ht="18.75" x14ac:dyDescent="0.3">
      <c r="A268" s="5">
        <v>46188</v>
      </c>
      <c r="B268" s="4" t="s">
        <v>111</v>
      </c>
      <c r="C268" s="3">
        <v>2</v>
      </c>
      <c r="D268" s="4">
        <v>30</v>
      </c>
      <c r="E268" s="4">
        <v>60</v>
      </c>
      <c r="F268" s="3" t="str">
        <f>PROPER(Table13[[#This Row],[Product Name(RAW)]])</f>
        <v xml:space="preserve">Nita Coil </v>
      </c>
      <c r="G268" s="3" t="str">
        <f>TEXT(Table13[[#This Row],[Date]],"dddd")</f>
        <v>Monday</v>
      </c>
      <c r="H268" s="3" t="str">
        <f t="shared" si="8"/>
        <v>Week 3</v>
      </c>
      <c r="I268" s="3" t="str">
        <f t="shared" si="9"/>
        <v>15-21</v>
      </c>
    </row>
    <row r="269" spans="1:9" ht="18.75" x14ac:dyDescent="0.3">
      <c r="A269" s="5">
        <v>46188</v>
      </c>
      <c r="B269" s="4" t="s">
        <v>31</v>
      </c>
      <c r="C269" s="3">
        <v>2</v>
      </c>
      <c r="D269" s="4">
        <v>10</v>
      </c>
      <c r="E269" s="4">
        <v>20</v>
      </c>
      <c r="F269" s="3" t="str">
        <f>PROPER(Table13[[#This Row],[Product Name(RAW)]])</f>
        <v xml:space="preserve">Tep </v>
      </c>
      <c r="G269" s="3" t="str">
        <f>TEXT(Table13[[#This Row],[Date]],"dddd")</f>
        <v>Monday</v>
      </c>
      <c r="H269" s="3" t="str">
        <f t="shared" si="8"/>
        <v>Week 3</v>
      </c>
      <c r="I269" s="3" t="str">
        <f t="shared" si="9"/>
        <v>15-21</v>
      </c>
    </row>
    <row r="270" spans="1:9" ht="18.75" x14ac:dyDescent="0.3">
      <c r="A270" s="5">
        <v>46189</v>
      </c>
      <c r="B270" s="4" t="s">
        <v>124</v>
      </c>
      <c r="C270" s="3">
        <v>4</v>
      </c>
      <c r="D270" s="4">
        <v>1550</v>
      </c>
      <c r="E270" s="4">
        <v>6200</v>
      </c>
      <c r="F270" s="3" t="str">
        <f>PROPER(Table13[[#This Row],[Product Name(RAW)]])</f>
        <v xml:space="preserve">1 Mm Rr Wire </v>
      </c>
      <c r="G270" s="3" t="str">
        <f>TEXT(Table13[[#This Row],[Date]],"dddd")</f>
        <v>Tuesday</v>
      </c>
      <c r="H270" s="3" t="str">
        <f t="shared" si="8"/>
        <v>Week 3</v>
      </c>
      <c r="I270" s="3" t="str">
        <f t="shared" si="9"/>
        <v>15-21</v>
      </c>
    </row>
    <row r="271" spans="1:9" ht="18.75" x14ac:dyDescent="0.3">
      <c r="A271" s="5">
        <v>46189</v>
      </c>
      <c r="B271" s="4" t="s">
        <v>159</v>
      </c>
      <c r="C271" s="3">
        <v>3</v>
      </c>
      <c r="D271" s="4">
        <v>2300</v>
      </c>
      <c r="E271" s="4">
        <v>6900</v>
      </c>
      <c r="F271" s="3" t="str">
        <f>PROPER(Table13[[#This Row],[Product Name(RAW)]])</f>
        <v>1.5 Mm Rrr Wire</v>
      </c>
      <c r="G271" s="3" t="str">
        <f>TEXT(Table13[[#This Row],[Date]],"dddd")</f>
        <v>Tuesday</v>
      </c>
      <c r="H271" s="3" t="str">
        <f t="shared" si="8"/>
        <v>Week 3</v>
      </c>
      <c r="I271" s="3" t="str">
        <f t="shared" si="9"/>
        <v>15-21</v>
      </c>
    </row>
    <row r="272" spans="1:9" ht="18.75" x14ac:dyDescent="0.3">
      <c r="A272" s="5">
        <v>46189</v>
      </c>
      <c r="B272" s="4" t="s">
        <v>160</v>
      </c>
      <c r="C272" s="3">
        <v>2</v>
      </c>
      <c r="D272" s="4">
        <v>3650</v>
      </c>
      <c r="E272" s="4">
        <v>7300</v>
      </c>
      <c r="F272" s="3" t="str">
        <f>PROPER(Table13[[#This Row],[Product Name(RAW)]])</f>
        <v>2.5Mm Rr Wire</v>
      </c>
      <c r="G272" s="3" t="str">
        <f>TEXT(Table13[[#This Row],[Date]],"dddd")</f>
        <v>Tuesday</v>
      </c>
      <c r="H272" s="3" t="str">
        <f t="shared" si="8"/>
        <v>Week 3</v>
      </c>
      <c r="I272" s="3" t="str">
        <f t="shared" si="9"/>
        <v>15-21</v>
      </c>
    </row>
    <row r="273" spans="1:9" ht="18.75" x14ac:dyDescent="0.3">
      <c r="A273" s="5">
        <v>46189</v>
      </c>
      <c r="B273" s="4" t="s">
        <v>161</v>
      </c>
      <c r="C273" s="3">
        <v>50</v>
      </c>
      <c r="D273" s="4">
        <v>70</v>
      </c>
      <c r="E273" s="4">
        <v>3500</v>
      </c>
      <c r="F273" s="3" t="str">
        <f>PROPER(Table13[[#This Row],[Product Name(RAW)]])</f>
        <v xml:space="preserve">4 Mm Rr </v>
      </c>
      <c r="G273" s="3" t="str">
        <f>TEXT(Table13[[#This Row],[Date]],"dddd")</f>
        <v>Tuesday</v>
      </c>
      <c r="H273" s="3" t="str">
        <f t="shared" si="8"/>
        <v>Week 3</v>
      </c>
      <c r="I273" s="3" t="str">
        <f t="shared" si="9"/>
        <v>15-21</v>
      </c>
    </row>
    <row r="274" spans="1:9" ht="18.75" x14ac:dyDescent="0.3">
      <c r="A274" s="5">
        <v>46189</v>
      </c>
      <c r="B274" s="4" t="s">
        <v>122</v>
      </c>
      <c r="C274" s="3">
        <v>10</v>
      </c>
      <c r="D274" s="4">
        <v>19</v>
      </c>
      <c r="E274" s="4">
        <v>190</v>
      </c>
      <c r="F274" s="3" t="str">
        <f>PROPER(Table13[[#This Row],[Product Name(RAW)]])</f>
        <v xml:space="preserve">Dish Wire </v>
      </c>
      <c r="G274" s="3" t="str">
        <f>TEXT(Table13[[#This Row],[Date]],"dddd")</f>
        <v>Tuesday</v>
      </c>
      <c r="H274" s="3" t="str">
        <f t="shared" si="8"/>
        <v>Week 3</v>
      </c>
      <c r="I274" s="3" t="str">
        <f t="shared" si="9"/>
        <v>15-21</v>
      </c>
    </row>
    <row r="275" spans="1:9" ht="18.75" x14ac:dyDescent="0.3">
      <c r="A275" s="5">
        <v>46189</v>
      </c>
      <c r="B275" s="4" t="s">
        <v>31</v>
      </c>
      <c r="C275" s="3">
        <v>5</v>
      </c>
      <c r="D275" s="4">
        <v>10</v>
      </c>
      <c r="E275" s="4">
        <v>50</v>
      </c>
      <c r="F275" s="3" t="str">
        <f>PROPER(Table13[[#This Row],[Product Name(RAW)]])</f>
        <v xml:space="preserve">Tep </v>
      </c>
      <c r="G275" s="3" t="str">
        <f>TEXT(Table13[[#This Row],[Date]],"dddd")</f>
        <v>Tuesday</v>
      </c>
      <c r="H275" s="3" t="str">
        <f t="shared" si="8"/>
        <v>Week 3</v>
      </c>
      <c r="I275" s="3" t="str">
        <f t="shared" si="9"/>
        <v>15-21</v>
      </c>
    </row>
    <row r="276" spans="1:9" ht="18.75" x14ac:dyDescent="0.3">
      <c r="A276" s="5">
        <v>46189</v>
      </c>
      <c r="B276" s="4" t="s">
        <v>148</v>
      </c>
      <c r="C276" s="3">
        <v>15</v>
      </c>
      <c r="D276" s="4">
        <v>66</v>
      </c>
      <c r="E276" s="4">
        <v>990</v>
      </c>
      <c r="F276" s="3" t="str">
        <f>PROPER(Table13[[#This Row],[Product Name(RAW)]])</f>
        <v xml:space="preserve">Mms Pipe </v>
      </c>
      <c r="G276" s="3" t="str">
        <f>TEXT(Table13[[#This Row],[Date]],"dddd")</f>
        <v>Tuesday</v>
      </c>
      <c r="H276" s="3" t="str">
        <f t="shared" si="8"/>
        <v>Week 3</v>
      </c>
      <c r="I276" s="3" t="str">
        <f t="shared" si="9"/>
        <v>15-21</v>
      </c>
    </row>
    <row r="277" spans="1:9" ht="18.75" x14ac:dyDescent="0.3">
      <c r="A277" s="5">
        <v>46189</v>
      </c>
      <c r="B277" s="4" t="s">
        <v>162</v>
      </c>
      <c r="C277" s="3">
        <v>20</v>
      </c>
      <c r="D277" s="4">
        <v>9</v>
      </c>
      <c r="E277" s="4">
        <v>180</v>
      </c>
      <c r="F277" s="3" t="str">
        <f>PROPER(Table13[[#This Row],[Product Name(RAW)]])</f>
        <v xml:space="preserve">Bend </v>
      </c>
      <c r="G277" s="3" t="str">
        <f>TEXT(Table13[[#This Row],[Date]],"dddd")</f>
        <v>Tuesday</v>
      </c>
      <c r="H277" s="3" t="str">
        <f t="shared" si="8"/>
        <v>Week 3</v>
      </c>
      <c r="I277" s="3" t="str">
        <f t="shared" si="9"/>
        <v>15-21</v>
      </c>
    </row>
    <row r="278" spans="1:9" ht="18.75" x14ac:dyDescent="0.3">
      <c r="A278" s="5">
        <v>46189</v>
      </c>
      <c r="B278" s="4" t="s">
        <v>19</v>
      </c>
      <c r="C278" s="3">
        <v>1</v>
      </c>
      <c r="D278" s="4">
        <v>120</v>
      </c>
      <c r="E278" s="4">
        <v>120</v>
      </c>
      <c r="F278" s="3" t="str">
        <f>PROPER(Table13[[#This Row],[Product Name(RAW)]])</f>
        <v xml:space="preserve">Cona Dp Switch </v>
      </c>
      <c r="G278" s="3" t="str">
        <f>TEXT(Table13[[#This Row],[Date]],"dddd")</f>
        <v>Tuesday</v>
      </c>
      <c r="H278" s="3" t="str">
        <f t="shared" si="8"/>
        <v>Week 3</v>
      </c>
      <c r="I278" s="3" t="str">
        <f t="shared" si="9"/>
        <v>15-21</v>
      </c>
    </row>
    <row r="279" spans="1:9" ht="18.75" x14ac:dyDescent="0.3">
      <c r="A279" s="5">
        <v>46189</v>
      </c>
      <c r="B279" s="4" t="s">
        <v>35</v>
      </c>
      <c r="C279" s="3">
        <v>1</v>
      </c>
      <c r="D279" s="4">
        <v>30</v>
      </c>
      <c r="E279" s="4">
        <v>30</v>
      </c>
      <c r="F279" s="3" t="str">
        <f>PROPER(Table13[[#This Row],[Product Name(RAW)]])</f>
        <v xml:space="preserve">3.15 Capacitor </v>
      </c>
      <c r="G279" s="3" t="str">
        <f>TEXT(Table13[[#This Row],[Date]],"dddd")</f>
        <v>Tuesday</v>
      </c>
      <c r="H279" s="3" t="str">
        <f t="shared" si="8"/>
        <v>Week 3</v>
      </c>
      <c r="I279" s="3" t="str">
        <f t="shared" si="9"/>
        <v>15-21</v>
      </c>
    </row>
    <row r="280" spans="1:9" ht="18.75" x14ac:dyDescent="0.3">
      <c r="A280" s="5">
        <v>46189</v>
      </c>
      <c r="B280" s="4" t="s">
        <v>24</v>
      </c>
      <c r="C280" s="3">
        <v>1</v>
      </c>
      <c r="D280" s="4">
        <v>15</v>
      </c>
      <c r="E280" s="4">
        <v>15</v>
      </c>
      <c r="F280" s="3" t="str">
        <f>PROPER(Table13[[#This Row],[Product Name(RAW)]])</f>
        <v xml:space="preserve">Sada Holder </v>
      </c>
      <c r="G280" s="3" t="str">
        <f>TEXT(Table13[[#This Row],[Date]],"dddd")</f>
        <v>Tuesday</v>
      </c>
      <c r="H280" s="3" t="str">
        <f t="shared" si="8"/>
        <v>Week 3</v>
      </c>
      <c r="I280" s="3" t="str">
        <f t="shared" si="9"/>
        <v>15-21</v>
      </c>
    </row>
    <row r="281" spans="1:9" ht="18.75" x14ac:dyDescent="0.3">
      <c r="A281" s="5">
        <v>46189</v>
      </c>
      <c r="B281" s="4" t="s">
        <v>275</v>
      </c>
      <c r="C281" s="3">
        <v>1</v>
      </c>
      <c r="D281" s="4">
        <v>210</v>
      </c>
      <c r="E281" s="4">
        <v>210</v>
      </c>
      <c r="F281" s="3" t="str">
        <f>PROPER(Table13[[#This Row],[Product Name(RAW)]])</f>
        <v>Shegdi</v>
      </c>
      <c r="G281" s="3" t="str">
        <f>TEXT(Table13[[#This Row],[Date]],"dddd")</f>
        <v>Tuesday</v>
      </c>
      <c r="H281" s="3" t="str">
        <f t="shared" si="8"/>
        <v>Week 3</v>
      </c>
      <c r="I281" s="3" t="str">
        <f t="shared" si="9"/>
        <v>15-21</v>
      </c>
    </row>
    <row r="282" spans="1:9" ht="18.75" x14ac:dyDescent="0.3">
      <c r="A282" s="5">
        <v>46189</v>
      </c>
      <c r="B282" s="4" t="s">
        <v>67</v>
      </c>
      <c r="C282" s="3">
        <v>1</v>
      </c>
      <c r="D282" s="4">
        <v>70</v>
      </c>
      <c r="E282" s="4">
        <v>70</v>
      </c>
      <c r="F282" s="3" t="str">
        <f>PROPER(Table13[[#This Row],[Product Name(RAW)]])</f>
        <v xml:space="preserve">16A Top </v>
      </c>
      <c r="G282" s="3" t="str">
        <f>TEXT(Table13[[#This Row],[Date]],"dddd")</f>
        <v>Tuesday</v>
      </c>
      <c r="H282" s="3" t="str">
        <f t="shared" si="8"/>
        <v>Week 3</v>
      </c>
      <c r="I282" s="3" t="str">
        <f t="shared" si="9"/>
        <v>15-21</v>
      </c>
    </row>
    <row r="283" spans="1:9" ht="18.75" x14ac:dyDescent="0.3">
      <c r="A283" s="5">
        <v>46189</v>
      </c>
      <c r="B283" s="4" t="s">
        <v>138</v>
      </c>
      <c r="C283" s="3">
        <v>3</v>
      </c>
      <c r="D283" s="4">
        <v>40</v>
      </c>
      <c r="E283" s="4">
        <v>120</v>
      </c>
      <c r="F283" s="3" t="str">
        <f>PROPER(Table13[[#This Row],[Product Name(RAW)]])</f>
        <v>Lmc Pipe</v>
      </c>
      <c r="G283" s="3" t="str">
        <f>TEXT(Table13[[#This Row],[Date]],"dddd")</f>
        <v>Tuesday</v>
      </c>
      <c r="H283" s="3" t="str">
        <f t="shared" si="8"/>
        <v>Week 3</v>
      </c>
      <c r="I283" s="3" t="str">
        <f t="shared" si="9"/>
        <v>15-21</v>
      </c>
    </row>
    <row r="284" spans="1:9" ht="18.75" x14ac:dyDescent="0.3">
      <c r="A284" s="5">
        <v>46189</v>
      </c>
      <c r="B284" s="4" t="s">
        <v>19</v>
      </c>
      <c r="C284" s="3">
        <v>1</v>
      </c>
      <c r="D284" s="4">
        <v>120</v>
      </c>
      <c r="E284" s="4">
        <v>120</v>
      </c>
      <c r="F284" s="3" t="str">
        <f>PROPER(Table13[[#This Row],[Product Name(RAW)]])</f>
        <v xml:space="preserve">Cona Dp Switch </v>
      </c>
      <c r="G284" s="3" t="str">
        <f>TEXT(Table13[[#This Row],[Date]],"dddd")</f>
        <v>Tuesday</v>
      </c>
      <c r="H284" s="3" t="str">
        <f t="shared" si="8"/>
        <v>Week 3</v>
      </c>
      <c r="I284" s="3" t="str">
        <f t="shared" si="9"/>
        <v>15-21</v>
      </c>
    </row>
    <row r="285" spans="1:9" ht="18.75" x14ac:dyDescent="0.3">
      <c r="A285" s="5">
        <v>46189</v>
      </c>
      <c r="B285" s="4" t="s">
        <v>80</v>
      </c>
      <c r="C285" s="3">
        <v>1</v>
      </c>
      <c r="D285" s="4">
        <v>210</v>
      </c>
      <c r="E285" s="4">
        <v>210</v>
      </c>
      <c r="F285" s="3" t="str">
        <f>PROPER(Table13[[#This Row],[Product Name(RAW)]])</f>
        <v>Wawa Cona Power Box</v>
      </c>
      <c r="G285" s="3" t="str">
        <f>TEXT(Table13[[#This Row],[Date]],"dddd")</f>
        <v>Tuesday</v>
      </c>
      <c r="H285" s="3" t="str">
        <f t="shared" si="8"/>
        <v>Week 3</v>
      </c>
      <c r="I285" s="3" t="str">
        <f t="shared" si="9"/>
        <v>15-21</v>
      </c>
    </row>
    <row r="286" spans="1:9" ht="18.75" x14ac:dyDescent="0.3">
      <c r="A286" s="5">
        <v>46189</v>
      </c>
      <c r="B286" s="4" t="s">
        <v>6</v>
      </c>
      <c r="C286" s="3">
        <v>1</v>
      </c>
      <c r="D286" s="4">
        <v>150</v>
      </c>
      <c r="E286" s="4">
        <v>150</v>
      </c>
      <c r="F286" s="3" t="str">
        <f>PROPER(Table13[[#This Row],[Product Name(RAW)]])</f>
        <v xml:space="preserve">Cona Ss Com Box </v>
      </c>
      <c r="G286" s="3" t="str">
        <f>TEXT(Table13[[#This Row],[Date]],"dddd")</f>
        <v>Tuesday</v>
      </c>
      <c r="H286" s="3" t="str">
        <f t="shared" si="8"/>
        <v>Week 3</v>
      </c>
      <c r="I286" s="3" t="str">
        <f t="shared" si="9"/>
        <v>15-21</v>
      </c>
    </row>
    <row r="287" spans="1:9" ht="18.75" x14ac:dyDescent="0.3">
      <c r="A287" s="5">
        <v>46189</v>
      </c>
      <c r="B287" s="4" t="s">
        <v>164</v>
      </c>
      <c r="C287" s="3">
        <v>10</v>
      </c>
      <c r="D287" s="4">
        <v>10</v>
      </c>
      <c r="E287" s="4">
        <v>100</v>
      </c>
      <c r="F287" s="3" t="str">
        <f>PROPER(Table13[[#This Row],[Product Name(RAW)]])</f>
        <v xml:space="preserve">2.5Mm Ss Wire </v>
      </c>
      <c r="G287" s="3" t="str">
        <f>TEXT(Table13[[#This Row],[Date]],"dddd")</f>
        <v>Tuesday</v>
      </c>
      <c r="H287" s="3" t="str">
        <f t="shared" si="8"/>
        <v>Week 3</v>
      </c>
      <c r="I287" s="3" t="str">
        <f t="shared" si="9"/>
        <v>15-21</v>
      </c>
    </row>
    <row r="288" spans="1:9" ht="18.75" x14ac:dyDescent="0.3">
      <c r="A288" s="5">
        <v>46190</v>
      </c>
      <c r="B288" s="4" t="s">
        <v>165</v>
      </c>
      <c r="C288" s="3">
        <v>5</v>
      </c>
      <c r="D288" s="4">
        <v>10</v>
      </c>
      <c r="E288" s="4">
        <v>50</v>
      </c>
      <c r="F288" s="3" t="str">
        <f>PROPER(Table13[[#This Row],[Product Name(RAW)]])</f>
        <v>Tep</v>
      </c>
      <c r="G288" s="3" t="str">
        <f>TEXT(Table13[[#This Row],[Date]],"dddd")</f>
        <v>Wednesday</v>
      </c>
      <c r="H288" s="3" t="str">
        <f t="shared" si="8"/>
        <v>Week 3</v>
      </c>
      <c r="I288" s="3" t="str">
        <f t="shared" si="9"/>
        <v>15-21</v>
      </c>
    </row>
    <row r="289" spans="1:9" ht="18.75" x14ac:dyDescent="0.3">
      <c r="A289" s="5">
        <v>46190</v>
      </c>
      <c r="B289" s="4" t="s">
        <v>163</v>
      </c>
      <c r="C289" s="3">
        <v>1</v>
      </c>
      <c r="D289" s="4">
        <v>230</v>
      </c>
      <c r="E289" s="4">
        <v>230</v>
      </c>
      <c r="F289" s="3" t="str">
        <f>PROPER(Table13[[#This Row],[Product Name(RAW)]])</f>
        <v xml:space="preserve">Extention Bord </v>
      </c>
      <c r="G289" s="3" t="str">
        <f>TEXT(Table13[[#This Row],[Date]],"dddd")</f>
        <v>Wednesday</v>
      </c>
      <c r="H289" s="3" t="str">
        <f t="shared" si="8"/>
        <v>Week 3</v>
      </c>
      <c r="I289" s="3" t="str">
        <f t="shared" si="9"/>
        <v>15-21</v>
      </c>
    </row>
    <row r="290" spans="1:9" ht="18.75" x14ac:dyDescent="0.3">
      <c r="A290" s="5">
        <v>46190</v>
      </c>
      <c r="B290" s="4" t="s">
        <v>166</v>
      </c>
      <c r="C290" s="3">
        <v>1</v>
      </c>
      <c r="D290" s="4">
        <v>250</v>
      </c>
      <c r="E290" s="4">
        <v>250</v>
      </c>
      <c r="F290" s="3" t="str">
        <f>PROPER(Table13[[#This Row],[Product Name(RAW)]])</f>
        <v xml:space="preserve">15W Panel </v>
      </c>
      <c r="G290" s="3" t="str">
        <f>TEXT(Table13[[#This Row],[Date]],"dddd")</f>
        <v>Wednesday</v>
      </c>
      <c r="H290" s="3" t="str">
        <f t="shared" si="8"/>
        <v>Week 3</v>
      </c>
      <c r="I290" s="3" t="str">
        <f t="shared" si="9"/>
        <v>15-21</v>
      </c>
    </row>
    <row r="291" spans="1:9" ht="18.75" x14ac:dyDescent="0.3">
      <c r="A291" s="5">
        <v>46190</v>
      </c>
      <c r="B291" s="4" t="s">
        <v>167</v>
      </c>
      <c r="C291" s="3">
        <v>1</v>
      </c>
      <c r="D291" s="4">
        <v>120</v>
      </c>
      <c r="E291" s="4">
        <v>120</v>
      </c>
      <c r="F291" s="3" t="str">
        <f>PROPER(Table13[[#This Row],[Product Name(RAW)]])</f>
        <v xml:space="preserve">3W Cob </v>
      </c>
      <c r="G291" s="3" t="str">
        <f>TEXT(Table13[[#This Row],[Date]],"dddd")</f>
        <v>Wednesday</v>
      </c>
      <c r="H291" s="3" t="str">
        <f t="shared" si="8"/>
        <v>Week 3</v>
      </c>
      <c r="I291" s="3" t="str">
        <f t="shared" si="9"/>
        <v>15-21</v>
      </c>
    </row>
    <row r="292" spans="1:9" ht="18.75" x14ac:dyDescent="0.3">
      <c r="A292" s="5">
        <v>46190</v>
      </c>
      <c r="B292" s="4" t="s">
        <v>167</v>
      </c>
      <c r="C292" s="3">
        <v>12</v>
      </c>
      <c r="D292" s="4">
        <v>120</v>
      </c>
      <c r="E292" s="4">
        <v>1440</v>
      </c>
      <c r="F292" s="3" t="str">
        <f>PROPER(Table13[[#This Row],[Product Name(RAW)]])</f>
        <v xml:space="preserve">3W Cob </v>
      </c>
      <c r="G292" s="3" t="str">
        <f>TEXT(Table13[[#This Row],[Date]],"dddd")</f>
        <v>Wednesday</v>
      </c>
      <c r="H292" s="3" t="str">
        <f t="shared" si="8"/>
        <v>Week 3</v>
      </c>
      <c r="I292" s="3" t="str">
        <f t="shared" si="9"/>
        <v>15-21</v>
      </c>
    </row>
    <row r="293" spans="1:9" ht="18.75" x14ac:dyDescent="0.3">
      <c r="A293" s="5">
        <v>46190</v>
      </c>
      <c r="B293" s="4" t="s">
        <v>71</v>
      </c>
      <c r="C293" s="3">
        <v>4</v>
      </c>
      <c r="D293" s="4">
        <v>60</v>
      </c>
      <c r="E293" s="4">
        <v>240</v>
      </c>
      <c r="F293" s="3" t="str">
        <f>PROPER(Table13[[#This Row],[Product Name(RAW)]])</f>
        <v xml:space="preserve">9W Light </v>
      </c>
      <c r="G293" s="3" t="str">
        <f>TEXT(Table13[[#This Row],[Date]],"dddd")</f>
        <v>Wednesday</v>
      </c>
      <c r="H293" s="3" t="str">
        <f t="shared" si="8"/>
        <v>Week 3</v>
      </c>
      <c r="I293" s="3" t="str">
        <f t="shared" si="9"/>
        <v>15-21</v>
      </c>
    </row>
    <row r="294" spans="1:9" ht="18.75" x14ac:dyDescent="0.3">
      <c r="A294" s="5">
        <v>46190</v>
      </c>
      <c r="B294" s="4" t="s">
        <v>168</v>
      </c>
      <c r="C294" s="3">
        <v>1</v>
      </c>
      <c r="D294" s="4">
        <v>60</v>
      </c>
      <c r="E294" s="4">
        <v>60</v>
      </c>
      <c r="F294" s="3" t="str">
        <f>PROPER(Table13[[#This Row],[Product Name(RAW)]])</f>
        <v xml:space="preserve">5W Light </v>
      </c>
      <c r="G294" s="3" t="str">
        <f>TEXT(Table13[[#This Row],[Date]],"dddd")</f>
        <v>Wednesday</v>
      </c>
      <c r="H294" s="3" t="str">
        <f t="shared" si="8"/>
        <v>Week 3</v>
      </c>
      <c r="I294" s="3" t="str">
        <f t="shared" si="9"/>
        <v>15-21</v>
      </c>
    </row>
    <row r="295" spans="1:9" ht="18.75" x14ac:dyDescent="0.3">
      <c r="A295" s="5">
        <v>46190</v>
      </c>
      <c r="B295" s="4" t="s">
        <v>111</v>
      </c>
      <c r="C295" s="3">
        <v>1</v>
      </c>
      <c r="D295" s="4">
        <v>30</v>
      </c>
      <c r="E295" s="4">
        <v>30</v>
      </c>
      <c r="F295" s="3" t="str">
        <f>PROPER(Table13[[#This Row],[Product Name(RAW)]])</f>
        <v xml:space="preserve">Nita Coil </v>
      </c>
      <c r="G295" s="3" t="str">
        <f>TEXT(Table13[[#This Row],[Date]],"dddd")</f>
        <v>Wednesday</v>
      </c>
      <c r="H295" s="3" t="str">
        <f t="shared" si="8"/>
        <v>Week 3</v>
      </c>
      <c r="I295" s="3" t="str">
        <f t="shared" si="9"/>
        <v>15-21</v>
      </c>
    </row>
    <row r="296" spans="1:9" ht="18.75" x14ac:dyDescent="0.3">
      <c r="A296" s="5">
        <v>46190</v>
      </c>
      <c r="B296" s="4" t="s">
        <v>169</v>
      </c>
      <c r="C296" s="3">
        <v>1</v>
      </c>
      <c r="D296" s="4">
        <v>65</v>
      </c>
      <c r="E296" s="4">
        <v>65</v>
      </c>
      <c r="F296" s="3" t="str">
        <f>PROPER(Table13[[#This Row],[Product Name(RAW)]])</f>
        <v xml:space="preserve">4M Plate Liva </v>
      </c>
      <c r="G296" s="3" t="str">
        <f>TEXT(Table13[[#This Row],[Date]],"dddd")</f>
        <v>Wednesday</v>
      </c>
      <c r="H296" s="3" t="str">
        <f t="shared" si="8"/>
        <v>Week 3</v>
      </c>
      <c r="I296" s="3" t="str">
        <f t="shared" si="9"/>
        <v>15-21</v>
      </c>
    </row>
    <row r="297" spans="1:9" ht="18.75" x14ac:dyDescent="0.3">
      <c r="A297" s="5">
        <v>46190</v>
      </c>
      <c r="B297" s="4" t="s">
        <v>62</v>
      </c>
      <c r="C297" s="3">
        <v>1</v>
      </c>
      <c r="D297" s="4">
        <v>80</v>
      </c>
      <c r="E297" s="4">
        <v>80</v>
      </c>
      <c r="F297" s="3" t="str">
        <f>PROPER(Table13[[#This Row],[Product Name(RAW)]])</f>
        <v xml:space="preserve">16A Plug Jiva </v>
      </c>
      <c r="G297" s="3" t="str">
        <f>TEXT(Table13[[#This Row],[Date]],"dddd")</f>
        <v>Wednesday</v>
      </c>
      <c r="H297" s="3" t="str">
        <f t="shared" si="8"/>
        <v>Week 3</v>
      </c>
      <c r="I297" s="3" t="str">
        <f t="shared" si="9"/>
        <v>15-21</v>
      </c>
    </row>
    <row r="298" spans="1:9" ht="18.75" x14ac:dyDescent="0.3">
      <c r="A298" s="5">
        <v>46190</v>
      </c>
      <c r="B298" s="4" t="s">
        <v>272</v>
      </c>
      <c r="C298" s="3">
        <v>1</v>
      </c>
      <c r="D298" s="4">
        <v>50</v>
      </c>
      <c r="E298" s="4">
        <v>50</v>
      </c>
      <c r="F298" s="3" t="str">
        <f>PROPER(Table13[[#This Row],[Product Name(RAW)]])</f>
        <v>16A Switch</v>
      </c>
      <c r="G298" s="3" t="str">
        <f>TEXT(Table13[[#This Row],[Date]],"dddd")</f>
        <v>Wednesday</v>
      </c>
      <c r="H298" s="3" t="str">
        <f t="shared" si="8"/>
        <v>Week 3</v>
      </c>
      <c r="I298" s="3" t="str">
        <f t="shared" si="9"/>
        <v>15-21</v>
      </c>
    </row>
    <row r="299" spans="1:9" ht="18.75" x14ac:dyDescent="0.3">
      <c r="A299" s="5">
        <v>46190</v>
      </c>
      <c r="B299" s="4" t="s">
        <v>269</v>
      </c>
      <c r="C299" s="3">
        <v>1</v>
      </c>
      <c r="D299" s="4">
        <v>15</v>
      </c>
      <c r="E299" s="4">
        <v>15</v>
      </c>
      <c r="F299" s="3" t="str">
        <f>PROPER(Table13[[#This Row],[Product Name(RAW)]])</f>
        <v xml:space="preserve">6A Switch </v>
      </c>
      <c r="G299" s="3" t="str">
        <f>TEXT(Table13[[#This Row],[Date]],"dddd")</f>
        <v>Wednesday</v>
      </c>
      <c r="H299" s="3" t="str">
        <f t="shared" si="8"/>
        <v>Week 3</v>
      </c>
      <c r="I299" s="3" t="str">
        <f t="shared" si="9"/>
        <v>15-21</v>
      </c>
    </row>
    <row r="300" spans="1:9" ht="18.75" x14ac:dyDescent="0.3">
      <c r="A300" s="5">
        <v>46190</v>
      </c>
      <c r="B300" s="4" t="s">
        <v>67</v>
      </c>
      <c r="C300" s="3">
        <v>1</v>
      </c>
      <c r="D300" s="4">
        <v>70</v>
      </c>
      <c r="E300" s="4">
        <v>70</v>
      </c>
      <c r="F300" s="3" t="str">
        <f>PROPER(Table13[[#This Row],[Product Name(RAW)]])</f>
        <v xml:space="preserve">16A Top </v>
      </c>
      <c r="G300" s="3" t="str">
        <f>TEXT(Table13[[#This Row],[Date]],"dddd")</f>
        <v>Wednesday</v>
      </c>
      <c r="H300" s="3" t="str">
        <f t="shared" si="8"/>
        <v>Week 3</v>
      </c>
      <c r="I300" s="3" t="str">
        <f t="shared" si="9"/>
        <v>15-21</v>
      </c>
    </row>
    <row r="301" spans="1:9" ht="18.75" x14ac:dyDescent="0.3">
      <c r="A301" s="5">
        <v>46190</v>
      </c>
      <c r="B301" s="4" t="s">
        <v>100</v>
      </c>
      <c r="C301" s="3">
        <v>1</v>
      </c>
      <c r="D301" s="4">
        <v>1750</v>
      </c>
      <c r="E301" s="4">
        <v>1750</v>
      </c>
      <c r="F301" s="3" t="str">
        <f>PROPER(Table13[[#This Row],[Product Name(RAW)]])</f>
        <v xml:space="preserve">Ecolink Fan </v>
      </c>
      <c r="G301" s="3" t="str">
        <f>TEXT(Table13[[#This Row],[Date]],"dddd")</f>
        <v>Wednesday</v>
      </c>
      <c r="H301" s="3" t="str">
        <f t="shared" si="8"/>
        <v>Week 3</v>
      </c>
      <c r="I301" s="3" t="str">
        <f t="shared" si="9"/>
        <v>15-21</v>
      </c>
    </row>
    <row r="302" spans="1:9" ht="18.75" x14ac:dyDescent="0.3">
      <c r="A302" s="5">
        <v>46190</v>
      </c>
      <c r="B302" s="4" t="s">
        <v>111</v>
      </c>
      <c r="C302" s="3">
        <v>1</v>
      </c>
      <c r="D302" s="4">
        <v>30</v>
      </c>
      <c r="E302" s="4">
        <v>30</v>
      </c>
      <c r="F302" s="3" t="str">
        <f>PROPER(Table13[[#This Row],[Product Name(RAW)]])</f>
        <v xml:space="preserve">Nita Coil </v>
      </c>
      <c r="G302" s="3" t="str">
        <f>TEXT(Table13[[#This Row],[Date]],"dddd")</f>
        <v>Wednesday</v>
      </c>
      <c r="H302" s="3" t="str">
        <f t="shared" si="8"/>
        <v>Week 3</v>
      </c>
      <c r="I302" s="3" t="str">
        <f t="shared" si="9"/>
        <v>15-21</v>
      </c>
    </row>
    <row r="303" spans="1:9" ht="18.75" x14ac:dyDescent="0.3">
      <c r="A303" s="5">
        <v>46190</v>
      </c>
      <c r="B303" s="4" t="s">
        <v>30</v>
      </c>
      <c r="C303" s="3">
        <v>10</v>
      </c>
      <c r="D303" s="4">
        <v>15</v>
      </c>
      <c r="E303" s="4">
        <v>150</v>
      </c>
      <c r="F303" s="3" t="str">
        <f>PROPER(Table13[[#This Row],[Product Name(RAW)]])</f>
        <v xml:space="preserve">4 Mm Ss Wire </v>
      </c>
      <c r="G303" s="3" t="str">
        <f>TEXT(Table13[[#This Row],[Date]],"dddd")</f>
        <v>Wednesday</v>
      </c>
      <c r="H303" s="3" t="str">
        <f t="shared" si="8"/>
        <v>Week 3</v>
      </c>
      <c r="I303" s="3" t="str">
        <f t="shared" si="9"/>
        <v>15-21</v>
      </c>
    </row>
    <row r="304" spans="1:9" ht="18.75" x14ac:dyDescent="0.3">
      <c r="A304" s="5">
        <v>46190</v>
      </c>
      <c r="B304" s="4" t="s">
        <v>111</v>
      </c>
      <c r="C304" s="3">
        <v>1</v>
      </c>
      <c r="D304" s="4">
        <v>30</v>
      </c>
      <c r="E304" s="4">
        <v>30</v>
      </c>
      <c r="F304" s="3" t="str">
        <f>PROPER(Table13[[#This Row],[Product Name(RAW)]])</f>
        <v xml:space="preserve">Nita Coil </v>
      </c>
      <c r="G304" s="3" t="str">
        <f>TEXT(Table13[[#This Row],[Date]],"dddd")</f>
        <v>Wednesday</v>
      </c>
      <c r="H304" s="3" t="str">
        <f t="shared" si="8"/>
        <v>Week 3</v>
      </c>
      <c r="I304" s="3" t="str">
        <f t="shared" si="9"/>
        <v>15-21</v>
      </c>
    </row>
    <row r="305" spans="1:9" ht="18.75" x14ac:dyDescent="0.3">
      <c r="A305" s="5">
        <v>46190</v>
      </c>
      <c r="B305" s="4" t="s">
        <v>170</v>
      </c>
      <c r="C305" s="3">
        <v>1</v>
      </c>
      <c r="D305" s="4">
        <v>140</v>
      </c>
      <c r="E305" s="4">
        <v>140</v>
      </c>
      <c r="F305" s="3" t="str">
        <f>PROPER(Table13[[#This Row],[Product Name(RAW)]])</f>
        <v xml:space="preserve">16A Sp Mcb </v>
      </c>
      <c r="G305" s="3" t="str">
        <f>TEXT(Table13[[#This Row],[Date]],"dddd")</f>
        <v>Wednesday</v>
      </c>
      <c r="H305" s="3" t="str">
        <f t="shared" si="8"/>
        <v>Week 3</v>
      </c>
      <c r="I305" s="3" t="str">
        <f t="shared" si="9"/>
        <v>15-21</v>
      </c>
    </row>
    <row r="306" spans="1:9" ht="18.75" x14ac:dyDescent="0.3">
      <c r="A306" s="5">
        <v>46190</v>
      </c>
      <c r="B306" s="4" t="s">
        <v>12</v>
      </c>
      <c r="C306" s="3">
        <v>1</v>
      </c>
      <c r="D306" s="4">
        <v>30</v>
      </c>
      <c r="E306" s="4">
        <v>30</v>
      </c>
      <c r="F306" s="3" t="str">
        <f>PROPER(Table13[[#This Row],[Product Name(RAW)]])</f>
        <v xml:space="preserve">1/2 Mcb Box </v>
      </c>
      <c r="G306" s="3" t="str">
        <f>TEXT(Table13[[#This Row],[Date]],"dddd")</f>
        <v>Wednesday</v>
      </c>
      <c r="H306" s="3" t="str">
        <f t="shared" si="8"/>
        <v>Week 3</v>
      </c>
      <c r="I306" s="3" t="str">
        <f t="shared" si="9"/>
        <v>15-21</v>
      </c>
    </row>
    <row r="307" spans="1:9" ht="18.75" x14ac:dyDescent="0.3">
      <c r="A307" s="5">
        <v>46190</v>
      </c>
      <c r="B307" s="4" t="s">
        <v>100</v>
      </c>
      <c r="C307" s="3">
        <v>3</v>
      </c>
      <c r="D307" s="4">
        <v>1950</v>
      </c>
      <c r="E307" s="4">
        <v>5850</v>
      </c>
      <c r="F307" s="3" t="str">
        <f>PROPER(Table13[[#This Row],[Product Name(RAW)]])</f>
        <v xml:space="preserve">Ecolink Fan </v>
      </c>
      <c r="G307" s="3" t="str">
        <f>TEXT(Table13[[#This Row],[Date]],"dddd")</f>
        <v>Wednesday</v>
      </c>
      <c r="H307" s="3" t="str">
        <f t="shared" si="8"/>
        <v>Week 3</v>
      </c>
      <c r="I307" s="3" t="str">
        <f t="shared" si="9"/>
        <v>15-21</v>
      </c>
    </row>
    <row r="308" spans="1:9" ht="18.75" x14ac:dyDescent="0.3">
      <c r="A308" s="5">
        <v>46190</v>
      </c>
      <c r="B308" s="4" t="s">
        <v>171</v>
      </c>
      <c r="C308" s="3">
        <v>2</v>
      </c>
      <c r="D308" s="4">
        <v>3700</v>
      </c>
      <c r="E308" s="4">
        <v>7400</v>
      </c>
      <c r="F308" s="3" t="str">
        <f>PROPER(Table13[[#This Row],[Product Name(RAW)]])</f>
        <v xml:space="preserve">Polycap Bldc Fan </v>
      </c>
      <c r="G308" s="3" t="str">
        <f>TEXT(Table13[[#This Row],[Date]],"dddd")</f>
        <v>Wednesday</v>
      </c>
      <c r="H308" s="3" t="str">
        <f t="shared" si="8"/>
        <v>Week 3</v>
      </c>
      <c r="I308" s="3" t="str">
        <f t="shared" si="9"/>
        <v>15-21</v>
      </c>
    </row>
    <row r="309" spans="1:9" ht="18.75" x14ac:dyDescent="0.3">
      <c r="A309" s="5">
        <v>46191</v>
      </c>
      <c r="B309" s="4" t="s">
        <v>273</v>
      </c>
      <c r="C309" s="3">
        <v>1</v>
      </c>
      <c r="D309" s="4">
        <v>230</v>
      </c>
      <c r="E309" s="4">
        <v>230</v>
      </c>
      <c r="F309" s="3" t="str">
        <f>PROPER(Table13[[#This Row],[Product Name(RAW)]])</f>
        <v xml:space="preserve">Shegdi </v>
      </c>
      <c r="G309" s="3" t="str">
        <f>TEXT(Table13[[#This Row],[Date]],"dddd")</f>
        <v>Thursday</v>
      </c>
      <c r="H309" s="3" t="str">
        <f t="shared" si="8"/>
        <v>Week 3</v>
      </c>
      <c r="I309" s="3" t="str">
        <f t="shared" si="9"/>
        <v>15-21</v>
      </c>
    </row>
    <row r="310" spans="1:9" ht="18.75" x14ac:dyDescent="0.3">
      <c r="A310" s="5">
        <v>46191</v>
      </c>
      <c r="B310" s="4" t="s">
        <v>111</v>
      </c>
      <c r="C310" s="3">
        <v>1</v>
      </c>
      <c r="D310" s="4">
        <v>30</v>
      </c>
      <c r="E310" s="4">
        <v>30</v>
      </c>
      <c r="F310" s="3" t="str">
        <f>PROPER(Table13[[#This Row],[Product Name(RAW)]])</f>
        <v xml:space="preserve">Nita Coil </v>
      </c>
      <c r="G310" s="3" t="str">
        <f>TEXT(Table13[[#This Row],[Date]],"dddd")</f>
        <v>Thursday</v>
      </c>
      <c r="H310" s="3" t="str">
        <f t="shared" si="8"/>
        <v>Week 3</v>
      </c>
      <c r="I310" s="3" t="str">
        <f t="shared" si="9"/>
        <v>15-21</v>
      </c>
    </row>
    <row r="311" spans="1:9" ht="18.75" x14ac:dyDescent="0.3">
      <c r="A311" s="5">
        <v>46191</v>
      </c>
      <c r="B311" s="4" t="s">
        <v>30</v>
      </c>
      <c r="C311" s="3">
        <v>4</v>
      </c>
      <c r="D311" s="4">
        <v>15</v>
      </c>
      <c r="E311" s="4">
        <v>60</v>
      </c>
      <c r="F311" s="3" t="str">
        <f>PROPER(Table13[[#This Row],[Product Name(RAW)]])</f>
        <v xml:space="preserve">4 Mm Ss Wire </v>
      </c>
      <c r="G311" s="3" t="str">
        <f>TEXT(Table13[[#This Row],[Date]],"dddd")</f>
        <v>Thursday</v>
      </c>
      <c r="H311" s="3" t="str">
        <f t="shared" si="8"/>
        <v>Week 3</v>
      </c>
      <c r="I311" s="3" t="str">
        <f t="shared" si="9"/>
        <v>15-21</v>
      </c>
    </row>
    <row r="312" spans="1:9" ht="18.75" x14ac:dyDescent="0.3">
      <c r="A312" s="5">
        <v>46191</v>
      </c>
      <c r="B312" s="4" t="s">
        <v>18</v>
      </c>
      <c r="C312" s="3">
        <v>1</v>
      </c>
      <c r="D312" s="4">
        <v>50</v>
      </c>
      <c r="E312" s="4">
        <v>50</v>
      </c>
      <c r="F312" s="3" t="str">
        <f>PROPER(Table13[[#This Row],[Product Name(RAW)]])</f>
        <v xml:space="preserve">6A Top Pin Cona </v>
      </c>
      <c r="G312" s="3" t="str">
        <f>TEXT(Table13[[#This Row],[Date]],"dddd")</f>
        <v>Thursday</v>
      </c>
      <c r="H312" s="3" t="str">
        <f t="shared" si="8"/>
        <v>Week 3</v>
      </c>
      <c r="I312" s="3" t="str">
        <f t="shared" si="9"/>
        <v>15-21</v>
      </c>
    </row>
    <row r="313" spans="1:9" ht="18.75" x14ac:dyDescent="0.3">
      <c r="A313" s="5">
        <v>46191</v>
      </c>
      <c r="B313" s="4" t="s">
        <v>124</v>
      </c>
      <c r="C313" s="3">
        <v>4</v>
      </c>
      <c r="D313" s="4">
        <v>1550</v>
      </c>
      <c r="E313" s="4">
        <v>6200</v>
      </c>
      <c r="F313" s="3" t="str">
        <f>PROPER(Table13[[#This Row],[Product Name(RAW)]])</f>
        <v xml:space="preserve">1 Mm Rr Wire </v>
      </c>
      <c r="G313" s="3" t="str">
        <f>TEXT(Table13[[#This Row],[Date]],"dddd")</f>
        <v>Thursday</v>
      </c>
      <c r="H313" s="3" t="str">
        <f t="shared" si="8"/>
        <v>Week 3</v>
      </c>
      <c r="I313" s="3" t="str">
        <f t="shared" si="9"/>
        <v>15-21</v>
      </c>
    </row>
    <row r="314" spans="1:9" ht="18.75" x14ac:dyDescent="0.3">
      <c r="A314" s="5">
        <v>46191</v>
      </c>
      <c r="B314" s="4" t="s">
        <v>172</v>
      </c>
      <c r="C314" s="3">
        <v>2</v>
      </c>
      <c r="D314" s="4">
        <v>2300</v>
      </c>
      <c r="E314" s="4">
        <v>4600</v>
      </c>
      <c r="F314" s="3" t="str">
        <f>PROPER(Table13[[#This Row],[Product Name(RAW)]])</f>
        <v xml:space="preserve">1.5 Mm Rr Wire </v>
      </c>
      <c r="G314" s="3" t="str">
        <f>TEXT(Table13[[#This Row],[Date]],"dddd")</f>
        <v>Thursday</v>
      </c>
      <c r="H314" s="3" t="str">
        <f t="shared" si="8"/>
        <v>Week 3</v>
      </c>
      <c r="I314" s="3" t="str">
        <f t="shared" si="9"/>
        <v>15-21</v>
      </c>
    </row>
    <row r="315" spans="1:9" ht="18.75" x14ac:dyDescent="0.3">
      <c r="A315" s="5">
        <v>46191</v>
      </c>
      <c r="B315" s="4" t="s">
        <v>133</v>
      </c>
      <c r="C315" s="3">
        <v>2</v>
      </c>
      <c r="D315" s="4">
        <v>3650</v>
      </c>
      <c r="E315" s="4">
        <v>7300</v>
      </c>
      <c r="F315" s="3" t="str">
        <f>PROPER(Table13[[#This Row],[Product Name(RAW)]])</f>
        <v xml:space="preserve">2.5 Mm Rr Wire </v>
      </c>
      <c r="G315" s="3" t="str">
        <f>TEXT(Table13[[#This Row],[Date]],"dddd")</f>
        <v>Thursday</v>
      </c>
      <c r="H315" s="3" t="str">
        <f t="shared" si="8"/>
        <v>Week 3</v>
      </c>
      <c r="I315" s="3" t="str">
        <f t="shared" si="9"/>
        <v>15-21</v>
      </c>
    </row>
    <row r="316" spans="1:9" ht="18.75" x14ac:dyDescent="0.3">
      <c r="A316" s="5">
        <v>46191</v>
      </c>
      <c r="B316" s="4" t="s">
        <v>118</v>
      </c>
      <c r="C316" s="3">
        <v>35</v>
      </c>
      <c r="D316" s="4">
        <v>7</v>
      </c>
      <c r="E316" s="4">
        <v>245</v>
      </c>
      <c r="F316" s="3" t="str">
        <f>PROPER(Table13[[#This Row],[Product Name(RAW)]])</f>
        <v xml:space="preserve">4'' Round Plate </v>
      </c>
      <c r="G316" s="3" t="str">
        <f>TEXT(Table13[[#This Row],[Date]],"dddd")</f>
        <v>Thursday</v>
      </c>
      <c r="H316" s="3" t="str">
        <f t="shared" si="8"/>
        <v>Week 3</v>
      </c>
      <c r="I316" s="3" t="str">
        <f t="shared" si="9"/>
        <v>15-21</v>
      </c>
    </row>
    <row r="317" spans="1:9" ht="18.75" x14ac:dyDescent="0.3">
      <c r="A317" s="5">
        <v>46191</v>
      </c>
      <c r="B317" s="4" t="s">
        <v>119</v>
      </c>
      <c r="C317" s="3">
        <v>6</v>
      </c>
      <c r="D317" s="4">
        <v>18</v>
      </c>
      <c r="E317" s="4">
        <v>108</v>
      </c>
      <c r="F317" s="3" t="str">
        <f>PROPER(Table13[[#This Row],[Product Name(RAW)]])</f>
        <v xml:space="preserve">Fan Round Plate </v>
      </c>
      <c r="G317" s="3" t="str">
        <f>TEXT(Table13[[#This Row],[Date]],"dddd")</f>
        <v>Thursday</v>
      </c>
      <c r="H317" s="3" t="str">
        <f t="shared" si="8"/>
        <v>Week 3</v>
      </c>
      <c r="I317" s="3" t="str">
        <f t="shared" si="9"/>
        <v>15-21</v>
      </c>
    </row>
    <row r="318" spans="1:9" ht="18.75" x14ac:dyDescent="0.3">
      <c r="A318" s="5">
        <v>46191</v>
      </c>
      <c r="B318" s="4" t="s">
        <v>31</v>
      </c>
      <c r="C318" s="3">
        <v>8</v>
      </c>
      <c r="D318" s="4">
        <v>10</v>
      </c>
      <c r="E318" s="4">
        <v>80</v>
      </c>
      <c r="F318" s="3" t="str">
        <f>PROPER(Table13[[#This Row],[Product Name(RAW)]])</f>
        <v xml:space="preserve">Tep </v>
      </c>
      <c r="G318" s="3" t="str">
        <f>TEXT(Table13[[#This Row],[Date]],"dddd")</f>
        <v>Thursday</v>
      </c>
      <c r="H318" s="3" t="str">
        <f t="shared" si="8"/>
        <v>Week 3</v>
      </c>
      <c r="I318" s="3" t="str">
        <f t="shared" si="9"/>
        <v>15-21</v>
      </c>
    </row>
    <row r="319" spans="1:9" ht="18.75" x14ac:dyDescent="0.3">
      <c r="A319" s="5">
        <v>46191</v>
      </c>
      <c r="B319" s="4" t="s">
        <v>173</v>
      </c>
      <c r="C319" s="3">
        <v>8</v>
      </c>
      <c r="D319" s="4">
        <v>15</v>
      </c>
      <c r="E319" s="4">
        <v>120</v>
      </c>
      <c r="F319" s="3" t="str">
        <f>PROPER(Table13[[#This Row],[Product Name(RAW)]])</f>
        <v xml:space="preserve">1 Inch Sru </v>
      </c>
      <c r="G319" s="3" t="str">
        <f>TEXT(Table13[[#This Row],[Date]],"dddd")</f>
        <v>Thursday</v>
      </c>
      <c r="H319" s="3" t="str">
        <f t="shared" si="8"/>
        <v>Week 3</v>
      </c>
      <c r="I319" s="3" t="str">
        <f t="shared" si="9"/>
        <v>15-21</v>
      </c>
    </row>
    <row r="320" spans="1:9" ht="18.75" x14ac:dyDescent="0.3">
      <c r="A320" s="5">
        <v>46191</v>
      </c>
      <c r="B320" s="4" t="s">
        <v>174</v>
      </c>
      <c r="C320" s="3">
        <v>8</v>
      </c>
      <c r="D320" s="4">
        <v>18</v>
      </c>
      <c r="E320" s="4">
        <v>144</v>
      </c>
      <c r="F320" s="3" t="str">
        <f>PROPER(Table13[[#This Row],[Product Name(RAW)]])</f>
        <v xml:space="preserve">1.5 Sru </v>
      </c>
      <c r="G320" s="3" t="str">
        <f>TEXT(Table13[[#This Row],[Date]],"dddd")</f>
        <v>Thursday</v>
      </c>
      <c r="H320" s="3" t="str">
        <f t="shared" si="8"/>
        <v>Week 3</v>
      </c>
      <c r="I320" s="3" t="str">
        <f t="shared" si="9"/>
        <v>15-21</v>
      </c>
    </row>
    <row r="321" spans="1:9" ht="18.75" x14ac:dyDescent="0.3">
      <c r="A321" s="5">
        <v>46191</v>
      </c>
      <c r="B321" s="4" t="s">
        <v>175</v>
      </c>
      <c r="C321" s="3">
        <v>5</v>
      </c>
      <c r="D321" s="4">
        <v>20</v>
      </c>
      <c r="E321" s="4">
        <v>100</v>
      </c>
      <c r="F321" s="3" t="str">
        <f>PROPER(Table13[[#This Row],[Product Name(RAW)]])</f>
        <v xml:space="preserve">2 Sru </v>
      </c>
      <c r="G321" s="3" t="str">
        <f>TEXT(Table13[[#This Row],[Date]],"dddd")</f>
        <v>Thursday</v>
      </c>
      <c r="H321" s="3" t="str">
        <f t="shared" si="8"/>
        <v>Week 3</v>
      </c>
      <c r="I321" s="3" t="str">
        <f t="shared" si="9"/>
        <v>15-21</v>
      </c>
    </row>
    <row r="322" spans="1:9" ht="18.75" x14ac:dyDescent="0.3">
      <c r="A322" s="5">
        <v>46191</v>
      </c>
      <c r="B322" s="4" t="s">
        <v>55</v>
      </c>
      <c r="C322" s="3">
        <v>17</v>
      </c>
      <c r="D322" s="4">
        <v>100</v>
      </c>
      <c r="E322" s="4">
        <v>1700</v>
      </c>
      <c r="F322" s="3" t="str">
        <f>PROPER(Table13[[#This Row],[Product Name(RAW)]])</f>
        <v xml:space="preserve">3W Junction Light </v>
      </c>
      <c r="G322" s="3" t="str">
        <f>TEXT(Table13[[#This Row],[Date]],"dddd")</f>
        <v>Thursday</v>
      </c>
      <c r="H322" s="3" t="str">
        <f t="shared" ref="H322:H385" si="10">"Week "&amp;ROUNDUP(DAY(A322)/7,0)</f>
        <v>Week 3</v>
      </c>
      <c r="I322" s="3" t="str">
        <f t="shared" ref="I322:I385" si="11">IF(DAY(A322)&lt;=7,"01-07",
IF(DAY(A322)&lt;=14,"08-14",
IF(DAY(A322)&lt;=21,"15-21",
IF(DAY(A322)&lt;=28,"22-28","29-30"))))</f>
        <v>15-21</v>
      </c>
    </row>
    <row r="323" spans="1:9" ht="18.75" x14ac:dyDescent="0.3">
      <c r="A323" s="5">
        <v>46191</v>
      </c>
      <c r="B323" s="4" t="s">
        <v>176</v>
      </c>
      <c r="C323" s="3">
        <v>4</v>
      </c>
      <c r="D323" s="4">
        <v>160</v>
      </c>
      <c r="E323" s="4">
        <v>640</v>
      </c>
      <c r="F323" s="3" t="str">
        <f>PROPER(Table13[[#This Row],[Product Name(RAW)]])</f>
        <v xml:space="preserve">18M Palte Jiva </v>
      </c>
      <c r="G323" s="3" t="str">
        <f>TEXT(Table13[[#This Row],[Date]],"dddd")</f>
        <v>Thursday</v>
      </c>
      <c r="H323" s="3" t="str">
        <f t="shared" si="10"/>
        <v>Week 3</v>
      </c>
      <c r="I323" s="3" t="str">
        <f t="shared" si="11"/>
        <v>15-21</v>
      </c>
    </row>
    <row r="324" spans="1:9" ht="18.75" x14ac:dyDescent="0.3">
      <c r="A324" s="5">
        <v>46191</v>
      </c>
      <c r="B324" s="4" t="s">
        <v>112</v>
      </c>
      <c r="C324" s="3">
        <v>6</v>
      </c>
      <c r="D324" s="4">
        <v>135</v>
      </c>
      <c r="E324" s="4">
        <v>810</v>
      </c>
      <c r="F324" s="3" t="str">
        <f>PROPER(Table13[[#This Row],[Product Name(RAW)]])</f>
        <v xml:space="preserve">12M Plate Jiva </v>
      </c>
      <c r="G324" s="3" t="str">
        <f>TEXT(Table13[[#This Row],[Date]],"dddd")</f>
        <v>Thursday</v>
      </c>
      <c r="H324" s="3" t="str">
        <f t="shared" si="10"/>
        <v>Week 3</v>
      </c>
      <c r="I324" s="3" t="str">
        <f t="shared" si="11"/>
        <v>15-21</v>
      </c>
    </row>
    <row r="325" spans="1:9" ht="18.75" x14ac:dyDescent="0.3">
      <c r="A325" s="5">
        <v>46191</v>
      </c>
      <c r="B325" s="4" t="s">
        <v>177</v>
      </c>
      <c r="C325" s="3">
        <v>3</v>
      </c>
      <c r="D325" s="4">
        <v>60</v>
      </c>
      <c r="E325" s="4">
        <v>180</v>
      </c>
      <c r="F325" s="3" t="str">
        <f>PROPER(Table13[[#This Row],[Product Name(RAW)]])</f>
        <v xml:space="preserve">4M Plate Jiva </v>
      </c>
      <c r="G325" s="3" t="str">
        <f>TEXT(Table13[[#This Row],[Date]],"dddd")</f>
        <v>Thursday</v>
      </c>
      <c r="H325" s="3" t="str">
        <f t="shared" si="10"/>
        <v>Week 3</v>
      </c>
      <c r="I325" s="3" t="str">
        <f t="shared" si="11"/>
        <v>15-21</v>
      </c>
    </row>
    <row r="326" spans="1:9" ht="18.75" x14ac:dyDescent="0.3">
      <c r="A326" s="5">
        <v>46191</v>
      </c>
      <c r="B326" s="4" t="s">
        <v>178</v>
      </c>
      <c r="C326" s="3">
        <v>2</v>
      </c>
      <c r="D326" s="4">
        <v>100</v>
      </c>
      <c r="E326" s="4">
        <v>200</v>
      </c>
      <c r="F326" s="3" t="str">
        <f>PROPER(Table13[[#This Row],[Product Name(RAW)]])</f>
        <v xml:space="preserve">4M Foot Light </v>
      </c>
      <c r="G326" s="3" t="str">
        <f>TEXT(Table13[[#This Row],[Date]],"dddd")</f>
        <v>Thursday</v>
      </c>
      <c r="H326" s="3" t="str">
        <f t="shared" si="10"/>
        <v>Week 3</v>
      </c>
      <c r="I326" s="3" t="str">
        <f t="shared" si="11"/>
        <v>15-21</v>
      </c>
    </row>
    <row r="327" spans="1:9" ht="18.75" x14ac:dyDescent="0.3">
      <c r="A327" s="5">
        <v>46191</v>
      </c>
      <c r="B327" s="4" t="s">
        <v>179</v>
      </c>
      <c r="C327" s="3">
        <v>1</v>
      </c>
      <c r="D327" s="4">
        <v>110</v>
      </c>
      <c r="E327" s="4">
        <v>110</v>
      </c>
      <c r="F327" s="3" t="str">
        <f>PROPER(Table13[[#This Row],[Product Name(RAW)]])</f>
        <v xml:space="preserve">Mitar Bord </v>
      </c>
      <c r="G327" s="3" t="str">
        <f>TEXT(Table13[[#This Row],[Date]],"dddd")</f>
        <v>Thursday</v>
      </c>
      <c r="H327" s="3" t="str">
        <f t="shared" si="10"/>
        <v>Week 3</v>
      </c>
      <c r="I327" s="3" t="str">
        <f t="shared" si="11"/>
        <v>15-21</v>
      </c>
    </row>
    <row r="328" spans="1:9" ht="18.75" x14ac:dyDescent="0.3">
      <c r="A328" s="5">
        <v>46191</v>
      </c>
      <c r="B328" s="4" t="s">
        <v>180</v>
      </c>
      <c r="C328" s="3">
        <v>1</v>
      </c>
      <c r="D328" s="4">
        <v>120</v>
      </c>
      <c r="E328" s="4">
        <v>120</v>
      </c>
      <c r="F328" s="3" t="str">
        <f>PROPER(Table13[[#This Row],[Product Name(RAW)]])</f>
        <v xml:space="preserve">Dp Switch </v>
      </c>
      <c r="G328" s="3" t="str">
        <f>TEXT(Table13[[#This Row],[Date]],"dddd")</f>
        <v>Thursday</v>
      </c>
      <c r="H328" s="3" t="str">
        <f t="shared" si="10"/>
        <v>Week 3</v>
      </c>
      <c r="I328" s="3" t="str">
        <f t="shared" si="11"/>
        <v>15-21</v>
      </c>
    </row>
    <row r="329" spans="1:9" ht="18.75" x14ac:dyDescent="0.3">
      <c r="A329" s="5">
        <v>46191</v>
      </c>
      <c r="B329" s="4" t="s">
        <v>181</v>
      </c>
      <c r="C329" s="3">
        <v>1</v>
      </c>
      <c r="D329" s="4">
        <v>60</v>
      </c>
      <c r="E329" s="4">
        <v>60</v>
      </c>
      <c r="F329" s="3" t="str">
        <f>PROPER(Table13[[#This Row],[Product Name(RAW)]])</f>
        <v xml:space="preserve">Mcb Box 4M </v>
      </c>
      <c r="G329" s="3" t="str">
        <f>TEXT(Table13[[#This Row],[Date]],"dddd")</f>
        <v>Thursday</v>
      </c>
      <c r="H329" s="3" t="str">
        <f t="shared" si="10"/>
        <v>Week 3</v>
      </c>
      <c r="I329" s="3" t="str">
        <f t="shared" si="11"/>
        <v>15-21</v>
      </c>
    </row>
    <row r="330" spans="1:9" ht="18.75" x14ac:dyDescent="0.3">
      <c r="A330" s="5">
        <v>46191</v>
      </c>
      <c r="B330" s="4" t="s">
        <v>267</v>
      </c>
      <c r="C330" s="3">
        <v>70</v>
      </c>
      <c r="D330" s="4">
        <v>13</v>
      </c>
      <c r="E330" s="4">
        <v>910</v>
      </c>
      <c r="F330" s="3" t="str">
        <f>PROPER(Table13[[#This Row],[Product Name(RAW)]])</f>
        <v xml:space="preserve">6A Switch Jiva </v>
      </c>
      <c r="G330" s="3" t="str">
        <f>TEXT(Table13[[#This Row],[Date]],"dddd")</f>
        <v>Thursday</v>
      </c>
      <c r="H330" s="3" t="str">
        <f t="shared" si="10"/>
        <v>Week 3</v>
      </c>
      <c r="I330" s="3" t="str">
        <f t="shared" si="11"/>
        <v>15-21</v>
      </c>
    </row>
    <row r="331" spans="1:9" ht="18.75" x14ac:dyDescent="0.3">
      <c r="A331" s="5">
        <v>46191</v>
      </c>
      <c r="B331" s="4" t="s">
        <v>92</v>
      </c>
      <c r="C331" s="3">
        <v>35</v>
      </c>
      <c r="D331" s="4">
        <v>35</v>
      </c>
      <c r="E331" s="4">
        <v>1225</v>
      </c>
      <c r="F331" s="3" t="str">
        <f>PROPER(Table13[[#This Row],[Product Name(RAW)]])</f>
        <v xml:space="preserve">6A Plug </v>
      </c>
      <c r="G331" s="3" t="str">
        <f>TEXT(Table13[[#This Row],[Date]],"dddd")</f>
        <v>Thursday</v>
      </c>
      <c r="H331" s="3" t="str">
        <f t="shared" si="10"/>
        <v>Week 3</v>
      </c>
      <c r="I331" s="3" t="str">
        <f t="shared" si="11"/>
        <v>15-21</v>
      </c>
    </row>
    <row r="332" spans="1:9" ht="18.75" x14ac:dyDescent="0.3">
      <c r="A332" s="5">
        <v>46191</v>
      </c>
      <c r="B332" s="4" t="s">
        <v>182</v>
      </c>
      <c r="C332" s="3">
        <v>6</v>
      </c>
      <c r="D332" s="4">
        <v>155</v>
      </c>
      <c r="E332" s="4">
        <v>930</v>
      </c>
      <c r="F332" s="3" t="str">
        <f>PROPER(Table13[[#This Row],[Product Name(RAW)]])</f>
        <v xml:space="preserve">1M Regulator Jiva </v>
      </c>
      <c r="G332" s="3" t="str">
        <f>TEXT(Table13[[#This Row],[Date]],"dddd")</f>
        <v>Thursday</v>
      </c>
      <c r="H332" s="3" t="str">
        <f t="shared" si="10"/>
        <v>Week 3</v>
      </c>
      <c r="I332" s="3" t="str">
        <f t="shared" si="11"/>
        <v>15-21</v>
      </c>
    </row>
    <row r="333" spans="1:9" ht="18.75" x14ac:dyDescent="0.3">
      <c r="A333" s="5">
        <v>46191</v>
      </c>
      <c r="B333" s="4" t="s">
        <v>183</v>
      </c>
      <c r="C333" s="3">
        <v>6</v>
      </c>
      <c r="D333" s="4">
        <v>40</v>
      </c>
      <c r="E333" s="4">
        <f t="shared" ref="E333:E349" si="12">C333*D333</f>
        <v>240</v>
      </c>
      <c r="F333" s="3" t="str">
        <f>PROPER(Table13[[#This Row],[Product Name(RAW)]])</f>
        <v xml:space="preserve">Indicator Jiva </v>
      </c>
      <c r="G333" s="3" t="str">
        <f>TEXT(Table13[[#This Row],[Date]],"dddd")</f>
        <v>Thursday</v>
      </c>
      <c r="H333" s="3" t="str">
        <f t="shared" si="10"/>
        <v>Week 3</v>
      </c>
      <c r="I333" s="3" t="str">
        <f t="shared" si="11"/>
        <v>15-21</v>
      </c>
    </row>
    <row r="334" spans="1:9" ht="18.75" x14ac:dyDescent="0.3">
      <c r="A334" s="5">
        <v>46191</v>
      </c>
      <c r="B334" s="4" t="s">
        <v>184</v>
      </c>
      <c r="C334" s="3">
        <v>6</v>
      </c>
      <c r="D334" s="4">
        <v>52</v>
      </c>
      <c r="E334" s="4">
        <f t="shared" si="12"/>
        <v>312</v>
      </c>
      <c r="F334" s="3" t="str">
        <f>PROPER(Table13[[#This Row],[Product Name(RAW)]])</f>
        <v xml:space="preserve">15'' Inch Fan Box </v>
      </c>
      <c r="G334" s="3" t="str">
        <f>TEXT(Table13[[#This Row],[Date]],"dddd")</f>
        <v>Thursday</v>
      </c>
      <c r="H334" s="3" t="str">
        <f t="shared" si="10"/>
        <v>Week 3</v>
      </c>
      <c r="I334" s="3" t="str">
        <f t="shared" si="11"/>
        <v>15-21</v>
      </c>
    </row>
    <row r="335" spans="1:9" ht="18.75" x14ac:dyDescent="0.3">
      <c r="A335" s="5">
        <v>46191</v>
      </c>
      <c r="B335" s="4" t="s">
        <v>73</v>
      </c>
      <c r="C335" s="3">
        <v>6</v>
      </c>
      <c r="D335" s="4">
        <v>30</v>
      </c>
      <c r="E335" s="4">
        <f t="shared" si="12"/>
        <v>180</v>
      </c>
      <c r="F335" s="3" t="str">
        <f>PROPER(Table13[[#This Row],[Product Name(RAW)]])</f>
        <v xml:space="preserve">V Claim </v>
      </c>
      <c r="G335" s="3" t="str">
        <f>TEXT(Table13[[#This Row],[Date]],"dddd")</f>
        <v>Thursday</v>
      </c>
      <c r="H335" s="3" t="str">
        <f t="shared" si="10"/>
        <v>Week 3</v>
      </c>
      <c r="I335" s="3" t="str">
        <f t="shared" si="11"/>
        <v>15-21</v>
      </c>
    </row>
    <row r="336" spans="1:9" ht="18.75" x14ac:dyDescent="0.3">
      <c r="A336" s="5">
        <v>46191</v>
      </c>
      <c r="B336" s="4" t="s">
        <v>109</v>
      </c>
      <c r="C336" s="3">
        <v>14</v>
      </c>
      <c r="D336" s="4">
        <v>30</v>
      </c>
      <c r="E336" s="4">
        <f t="shared" si="12"/>
        <v>420</v>
      </c>
      <c r="F336" s="3" t="str">
        <f>PROPER(Table13[[#This Row],[Product Name(RAW)]])</f>
        <v xml:space="preserve">A Holder </v>
      </c>
      <c r="G336" s="3" t="str">
        <f>TEXT(Table13[[#This Row],[Date]],"dddd")</f>
        <v>Thursday</v>
      </c>
      <c r="H336" s="3" t="str">
        <f t="shared" si="10"/>
        <v>Week 3</v>
      </c>
      <c r="I336" s="3" t="str">
        <f t="shared" si="11"/>
        <v>15-21</v>
      </c>
    </row>
    <row r="337" spans="1:9" ht="18.75" x14ac:dyDescent="0.3">
      <c r="A337" s="5">
        <v>46191</v>
      </c>
      <c r="B337" s="4" t="s">
        <v>185</v>
      </c>
      <c r="C337" s="3">
        <v>6</v>
      </c>
      <c r="D337" s="4">
        <v>30</v>
      </c>
      <c r="E337" s="4">
        <f t="shared" si="12"/>
        <v>180</v>
      </c>
      <c r="F337" s="3" t="str">
        <f>PROPER(Table13[[#This Row],[Product Name(RAW)]])</f>
        <v xml:space="preserve">B Holder </v>
      </c>
      <c r="G337" s="3" t="str">
        <f>TEXT(Table13[[#This Row],[Date]],"dddd")</f>
        <v>Thursday</v>
      </c>
      <c r="H337" s="3" t="str">
        <f t="shared" si="10"/>
        <v>Week 3</v>
      </c>
      <c r="I337" s="3" t="str">
        <f t="shared" si="11"/>
        <v>15-21</v>
      </c>
    </row>
    <row r="338" spans="1:9" ht="18.75" x14ac:dyDescent="0.3">
      <c r="A338" s="5">
        <v>46191</v>
      </c>
      <c r="B338" s="4" t="s">
        <v>186</v>
      </c>
      <c r="C338" s="3">
        <v>6</v>
      </c>
      <c r="D338" s="4">
        <v>15</v>
      </c>
      <c r="E338" s="4">
        <f t="shared" si="12"/>
        <v>90</v>
      </c>
      <c r="F338" s="3" t="str">
        <f>PROPER(Table13[[#This Row],[Product Name(RAW)]])</f>
        <v xml:space="preserve">Cr </v>
      </c>
      <c r="G338" s="3" t="str">
        <f>TEXT(Table13[[#This Row],[Date]],"dddd")</f>
        <v>Thursday</v>
      </c>
      <c r="H338" s="3" t="str">
        <f t="shared" si="10"/>
        <v>Week 3</v>
      </c>
      <c r="I338" s="3" t="str">
        <f t="shared" si="11"/>
        <v>15-21</v>
      </c>
    </row>
    <row r="339" spans="1:9" ht="18.75" x14ac:dyDescent="0.3">
      <c r="A339" s="5">
        <v>46191</v>
      </c>
      <c r="B339" s="4" t="s">
        <v>187</v>
      </c>
      <c r="C339" s="3">
        <v>2</v>
      </c>
      <c r="D339" s="4">
        <v>12</v>
      </c>
      <c r="E339" s="4">
        <f t="shared" si="12"/>
        <v>24</v>
      </c>
      <c r="F339" s="3" t="str">
        <f>PROPER(Table13[[#This Row],[Product Name(RAW)]])</f>
        <v xml:space="preserve">Cesing 1 Way </v>
      </c>
      <c r="G339" s="3" t="str">
        <f>TEXT(Table13[[#This Row],[Date]],"dddd")</f>
        <v>Thursday</v>
      </c>
      <c r="H339" s="3" t="str">
        <f t="shared" si="10"/>
        <v>Week 3</v>
      </c>
      <c r="I339" s="3" t="str">
        <f t="shared" si="11"/>
        <v>15-21</v>
      </c>
    </row>
    <row r="340" spans="1:9" ht="18.75" x14ac:dyDescent="0.3">
      <c r="A340" s="5">
        <v>46191</v>
      </c>
      <c r="B340" s="4" t="s">
        <v>188</v>
      </c>
      <c r="C340" s="3">
        <v>2</v>
      </c>
      <c r="D340" s="4">
        <v>40</v>
      </c>
      <c r="E340" s="4">
        <f t="shared" si="12"/>
        <v>80</v>
      </c>
      <c r="F340" s="3" t="str">
        <f>PROPER(Table13[[#This Row],[Product Name(RAW)]])</f>
        <v xml:space="preserve">Cesing Patti </v>
      </c>
      <c r="G340" s="3" t="str">
        <f>TEXT(Table13[[#This Row],[Date]],"dddd")</f>
        <v>Thursday</v>
      </c>
      <c r="H340" s="3" t="str">
        <f t="shared" si="10"/>
        <v>Week 3</v>
      </c>
      <c r="I340" s="3" t="str">
        <f t="shared" si="11"/>
        <v>15-21</v>
      </c>
    </row>
    <row r="341" spans="1:9" ht="18.75" x14ac:dyDescent="0.3">
      <c r="A341" s="5">
        <v>46191</v>
      </c>
      <c r="B341" s="4" t="s">
        <v>46</v>
      </c>
      <c r="C341" s="3">
        <v>1</v>
      </c>
      <c r="D341" s="4">
        <v>10</v>
      </c>
      <c r="E341" s="4">
        <f t="shared" si="12"/>
        <v>10</v>
      </c>
      <c r="F341" s="3" t="str">
        <f>PROPER(Table13[[#This Row],[Product Name(RAW)]])</f>
        <v xml:space="preserve">Grip </v>
      </c>
      <c r="G341" s="3" t="str">
        <f>TEXT(Table13[[#This Row],[Date]],"dddd")</f>
        <v>Thursday</v>
      </c>
      <c r="H341" s="3" t="str">
        <f t="shared" si="10"/>
        <v>Week 3</v>
      </c>
      <c r="I341" s="3" t="str">
        <f t="shared" si="11"/>
        <v>15-21</v>
      </c>
    </row>
    <row r="342" spans="1:9" ht="18.75" x14ac:dyDescent="0.3">
      <c r="A342" s="5">
        <v>46191</v>
      </c>
      <c r="B342" s="4" t="s">
        <v>18</v>
      </c>
      <c r="C342" s="3">
        <v>2</v>
      </c>
      <c r="D342" s="4">
        <v>60</v>
      </c>
      <c r="E342" s="4">
        <f t="shared" si="12"/>
        <v>120</v>
      </c>
      <c r="F342" s="3" t="str">
        <f>PROPER(Table13[[#This Row],[Product Name(RAW)]])</f>
        <v xml:space="preserve">6A Top Pin Cona </v>
      </c>
      <c r="G342" s="3" t="str">
        <f>TEXT(Table13[[#This Row],[Date]],"dddd")</f>
        <v>Thursday</v>
      </c>
      <c r="H342" s="3" t="str">
        <f t="shared" si="10"/>
        <v>Week 3</v>
      </c>
      <c r="I342" s="3" t="str">
        <f t="shared" si="11"/>
        <v>15-21</v>
      </c>
    </row>
    <row r="343" spans="1:9" ht="18.75" x14ac:dyDescent="0.3">
      <c r="A343" s="5">
        <v>46191</v>
      </c>
      <c r="B343" s="4" t="s">
        <v>72</v>
      </c>
      <c r="C343" s="3">
        <v>5</v>
      </c>
      <c r="D343" s="4">
        <v>120</v>
      </c>
      <c r="E343" s="4">
        <f t="shared" si="12"/>
        <v>600</v>
      </c>
      <c r="F343" s="3" t="str">
        <f>PROPER(Table13[[#This Row],[Product Name(RAW)]])</f>
        <v xml:space="preserve">20W Tub Light </v>
      </c>
      <c r="G343" s="3" t="str">
        <f>TEXT(Table13[[#This Row],[Date]],"dddd")</f>
        <v>Thursday</v>
      </c>
      <c r="H343" s="3" t="str">
        <f t="shared" si="10"/>
        <v>Week 3</v>
      </c>
      <c r="I343" s="3" t="str">
        <f t="shared" si="11"/>
        <v>15-21</v>
      </c>
    </row>
    <row r="344" spans="1:9" ht="18.75" x14ac:dyDescent="0.3">
      <c r="A344" s="5">
        <v>46191</v>
      </c>
      <c r="B344" s="4" t="s">
        <v>71</v>
      </c>
      <c r="C344" s="3">
        <v>6</v>
      </c>
      <c r="D344" s="4">
        <v>70</v>
      </c>
      <c r="E344" s="4">
        <f t="shared" si="12"/>
        <v>420</v>
      </c>
      <c r="F344" s="3" t="str">
        <f>PROPER(Table13[[#This Row],[Product Name(RAW)]])</f>
        <v xml:space="preserve">9W Light </v>
      </c>
      <c r="G344" s="3" t="str">
        <f>TEXT(Table13[[#This Row],[Date]],"dddd")</f>
        <v>Thursday</v>
      </c>
      <c r="H344" s="3" t="str">
        <f t="shared" si="10"/>
        <v>Week 3</v>
      </c>
      <c r="I344" s="3" t="str">
        <f t="shared" si="11"/>
        <v>15-21</v>
      </c>
    </row>
    <row r="345" spans="1:9" ht="18.75" x14ac:dyDescent="0.3">
      <c r="A345" s="5">
        <v>46191</v>
      </c>
      <c r="B345" s="4" t="s">
        <v>168</v>
      </c>
      <c r="C345" s="3">
        <v>5</v>
      </c>
      <c r="D345" s="4">
        <v>60</v>
      </c>
      <c r="E345" s="4">
        <f t="shared" si="12"/>
        <v>300</v>
      </c>
      <c r="F345" s="3" t="str">
        <f>PROPER(Table13[[#This Row],[Product Name(RAW)]])</f>
        <v xml:space="preserve">5W Light </v>
      </c>
      <c r="G345" s="3" t="str">
        <f>TEXT(Table13[[#This Row],[Date]],"dddd")</f>
        <v>Thursday</v>
      </c>
      <c r="H345" s="3" t="str">
        <f t="shared" si="10"/>
        <v>Week 3</v>
      </c>
      <c r="I345" s="3" t="str">
        <f t="shared" si="11"/>
        <v>15-21</v>
      </c>
    </row>
    <row r="346" spans="1:9" ht="18.75" x14ac:dyDescent="0.3">
      <c r="A346" s="5">
        <v>46191</v>
      </c>
      <c r="B346" s="4" t="s">
        <v>189</v>
      </c>
      <c r="C346" s="3">
        <v>2</v>
      </c>
      <c r="D346" s="4">
        <v>30</v>
      </c>
      <c r="E346" s="4">
        <f t="shared" si="12"/>
        <v>60</v>
      </c>
      <c r="F346" s="3" t="str">
        <f>PROPER(Table13[[#This Row],[Product Name(RAW)]])</f>
        <v>0.5 Light</v>
      </c>
      <c r="G346" s="3" t="str">
        <f>TEXT(Table13[[#This Row],[Date]],"dddd")</f>
        <v>Thursday</v>
      </c>
      <c r="H346" s="3" t="str">
        <f t="shared" si="10"/>
        <v>Week 3</v>
      </c>
      <c r="I346" s="3" t="str">
        <f t="shared" si="11"/>
        <v>15-21</v>
      </c>
    </row>
    <row r="347" spans="1:9" ht="18.75" x14ac:dyDescent="0.3">
      <c r="A347" s="5">
        <v>46191</v>
      </c>
      <c r="B347" s="4" t="s">
        <v>38</v>
      </c>
      <c r="C347" s="3">
        <v>4</v>
      </c>
      <c r="D347" s="4">
        <v>130</v>
      </c>
      <c r="E347" s="4">
        <f t="shared" si="12"/>
        <v>520</v>
      </c>
      <c r="F347" s="3" t="str">
        <f>PROPER(Table13[[#This Row],[Product Name(RAW)]])</f>
        <v xml:space="preserve">32A Sp Mcb Legrand </v>
      </c>
      <c r="G347" s="3" t="str">
        <f>TEXT(Table13[[#This Row],[Date]],"dddd")</f>
        <v>Thursday</v>
      </c>
      <c r="H347" s="3" t="str">
        <f t="shared" si="10"/>
        <v>Week 3</v>
      </c>
      <c r="I347" s="3" t="str">
        <f t="shared" si="11"/>
        <v>15-21</v>
      </c>
    </row>
    <row r="348" spans="1:9" ht="18.75" x14ac:dyDescent="0.3">
      <c r="A348" s="5">
        <v>46191</v>
      </c>
      <c r="B348" s="4" t="s">
        <v>190</v>
      </c>
      <c r="C348" s="3">
        <v>2</v>
      </c>
      <c r="D348" s="4">
        <v>140</v>
      </c>
      <c r="E348" s="4">
        <f t="shared" si="12"/>
        <v>280</v>
      </c>
      <c r="F348" s="3" t="str">
        <f>PROPER(Table13[[#This Row],[Product Name(RAW)]])</f>
        <v xml:space="preserve">Ding Dong Bell </v>
      </c>
      <c r="G348" s="3" t="str">
        <f>TEXT(Table13[[#This Row],[Date]],"dddd")</f>
        <v>Thursday</v>
      </c>
      <c r="H348" s="3" t="str">
        <f t="shared" si="10"/>
        <v>Week 3</v>
      </c>
      <c r="I348" s="3" t="str">
        <f t="shared" si="11"/>
        <v>15-21</v>
      </c>
    </row>
    <row r="349" spans="1:9" ht="18.75" x14ac:dyDescent="0.3">
      <c r="A349" s="5">
        <v>46191</v>
      </c>
      <c r="B349" s="4" t="s">
        <v>104</v>
      </c>
      <c r="C349" s="3">
        <v>2</v>
      </c>
      <c r="D349" s="4">
        <v>37</v>
      </c>
      <c r="E349" s="4">
        <f t="shared" si="12"/>
        <v>74</v>
      </c>
      <c r="F349" s="3" t="str">
        <f>PROPER(Table13[[#This Row],[Product Name(RAW)]])</f>
        <v xml:space="preserve">1M Bell Switch </v>
      </c>
      <c r="G349" s="3" t="str">
        <f>TEXT(Table13[[#This Row],[Date]],"dddd")</f>
        <v>Thursday</v>
      </c>
      <c r="H349" s="3" t="str">
        <f t="shared" si="10"/>
        <v>Week 3</v>
      </c>
      <c r="I349" s="3" t="str">
        <f t="shared" si="11"/>
        <v>15-21</v>
      </c>
    </row>
    <row r="350" spans="1:9" ht="18.75" x14ac:dyDescent="0.3">
      <c r="A350" s="5">
        <v>46191</v>
      </c>
      <c r="B350" s="4" t="s">
        <v>191</v>
      </c>
      <c r="C350" s="3">
        <v>1</v>
      </c>
      <c r="D350" s="4">
        <v>50</v>
      </c>
      <c r="E350" s="4">
        <v>50</v>
      </c>
      <c r="F350" s="3" t="str">
        <f>PROPER(Table13[[#This Row],[Product Name(RAW)]])</f>
        <v xml:space="preserve">32A Sada Cutout </v>
      </c>
      <c r="G350" s="3" t="str">
        <f>TEXT(Table13[[#This Row],[Date]],"dddd")</f>
        <v>Thursday</v>
      </c>
      <c r="H350" s="3" t="str">
        <f t="shared" si="10"/>
        <v>Week 3</v>
      </c>
      <c r="I350" s="3" t="str">
        <f t="shared" si="11"/>
        <v>15-21</v>
      </c>
    </row>
    <row r="351" spans="1:9" ht="18.75" x14ac:dyDescent="0.3">
      <c r="A351" s="5">
        <v>46191</v>
      </c>
      <c r="B351" s="4" t="s">
        <v>192</v>
      </c>
      <c r="C351" s="3">
        <v>2</v>
      </c>
      <c r="D351" s="4">
        <v>80</v>
      </c>
      <c r="E351" s="3">
        <v>160</v>
      </c>
      <c r="F351" s="3" t="str">
        <f>PROPER(Table13[[#This Row],[Product Name(RAW)]])</f>
        <v xml:space="preserve">Sp 32A Cutout </v>
      </c>
      <c r="G351" s="3" t="str">
        <f>TEXT(Table13[[#This Row],[Date]],"dddd")</f>
        <v>Thursday</v>
      </c>
      <c r="H351" s="3" t="str">
        <f t="shared" si="10"/>
        <v>Week 3</v>
      </c>
      <c r="I351" s="3" t="str">
        <f t="shared" si="11"/>
        <v>15-21</v>
      </c>
    </row>
    <row r="352" spans="1:9" ht="18.75" x14ac:dyDescent="0.3">
      <c r="A352" s="5">
        <v>46191</v>
      </c>
      <c r="B352" s="4" t="s">
        <v>179</v>
      </c>
      <c r="C352" s="3">
        <v>1</v>
      </c>
      <c r="D352" s="4">
        <v>110</v>
      </c>
      <c r="E352" s="3">
        <v>110</v>
      </c>
      <c r="F352" s="3" t="str">
        <f>PROPER(Table13[[#This Row],[Product Name(RAW)]])</f>
        <v xml:space="preserve">Mitar Bord </v>
      </c>
      <c r="G352" s="3" t="str">
        <f>TEXT(Table13[[#This Row],[Date]],"dddd")</f>
        <v>Thursday</v>
      </c>
      <c r="H352" s="3" t="str">
        <f t="shared" si="10"/>
        <v>Week 3</v>
      </c>
      <c r="I352" s="3" t="str">
        <f t="shared" si="11"/>
        <v>15-21</v>
      </c>
    </row>
    <row r="353" spans="1:9" ht="18.75" x14ac:dyDescent="0.3">
      <c r="A353" s="5">
        <v>46191</v>
      </c>
      <c r="B353" s="4" t="s">
        <v>193</v>
      </c>
      <c r="C353" s="3">
        <v>1</v>
      </c>
      <c r="D353" s="4">
        <v>3</v>
      </c>
      <c r="E353" s="3">
        <v>30</v>
      </c>
      <c r="F353" s="3" t="str">
        <f>PROPER(Table13[[#This Row],[Product Name(RAW)]])</f>
        <v xml:space="preserve">1/2 Mvb Box </v>
      </c>
      <c r="G353" s="3" t="str">
        <f>TEXT(Table13[[#This Row],[Date]],"dddd")</f>
        <v>Thursday</v>
      </c>
      <c r="H353" s="3" t="str">
        <f t="shared" si="10"/>
        <v>Week 3</v>
      </c>
      <c r="I353" s="3" t="str">
        <f t="shared" si="11"/>
        <v>15-21</v>
      </c>
    </row>
    <row r="354" spans="1:9" ht="18.75" x14ac:dyDescent="0.3">
      <c r="A354" s="5">
        <v>46191</v>
      </c>
      <c r="B354" s="4" t="s">
        <v>67</v>
      </c>
      <c r="C354" s="3">
        <v>1</v>
      </c>
      <c r="D354" s="4">
        <v>70</v>
      </c>
      <c r="E354" s="3">
        <v>70</v>
      </c>
      <c r="F354" s="3" t="str">
        <f>PROPER(Table13[[#This Row],[Product Name(RAW)]])</f>
        <v xml:space="preserve">16A Top </v>
      </c>
      <c r="G354" s="3" t="str">
        <f>TEXT(Table13[[#This Row],[Date]],"dddd")</f>
        <v>Thursday</v>
      </c>
      <c r="H354" s="3" t="str">
        <f t="shared" si="10"/>
        <v>Week 3</v>
      </c>
      <c r="I354" s="3" t="str">
        <f t="shared" si="11"/>
        <v>15-21</v>
      </c>
    </row>
    <row r="355" spans="1:9" ht="18.75" x14ac:dyDescent="0.3">
      <c r="A355" s="5">
        <v>46191</v>
      </c>
      <c r="B355" s="4" t="s">
        <v>194</v>
      </c>
      <c r="C355" s="3">
        <v>1</v>
      </c>
      <c r="D355" s="4">
        <v>3100</v>
      </c>
      <c r="E355" s="3">
        <v>3100</v>
      </c>
      <c r="F355" s="3" t="str">
        <f>PROPER(Table13[[#This Row],[Product Name(RAW)]])</f>
        <v xml:space="preserve">3 Liter Geyser </v>
      </c>
      <c r="G355" s="3" t="str">
        <f>TEXT(Table13[[#This Row],[Date]],"dddd")</f>
        <v>Thursday</v>
      </c>
      <c r="H355" s="3" t="str">
        <f t="shared" si="10"/>
        <v>Week 3</v>
      </c>
      <c r="I355" s="3" t="str">
        <f t="shared" si="11"/>
        <v>15-21</v>
      </c>
    </row>
    <row r="356" spans="1:9" ht="18.75" x14ac:dyDescent="0.3">
      <c r="A356" s="5">
        <v>46191</v>
      </c>
      <c r="B356" s="4" t="s">
        <v>275</v>
      </c>
      <c r="C356" s="3">
        <v>1</v>
      </c>
      <c r="D356" s="4">
        <v>200</v>
      </c>
      <c r="E356" s="6">
        <v>200</v>
      </c>
      <c r="F356" s="3" t="str">
        <f>PROPER(Table13[[#This Row],[Product Name(RAW)]])</f>
        <v>Shegdi</v>
      </c>
      <c r="G356" s="3" t="str">
        <f>TEXT(Table13[[#This Row],[Date]],"dddd")</f>
        <v>Thursday</v>
      </c>
      <c r="H356" s="3" t="str">
        <f t="shared" si="10"/>
        <v>Week 3</v>
      </c>
      <c r="I356" s="3" t="str">
        <f t="shared" si="11"/>
        <v>15-21</v>
      </c>
    </row>
    <row r="357" spans="1:9" ht="18.75" x14ac:dyDescent="0.3">
      <c r="A357" s="5">
        <v>46192</v>
      </c>
      <c r="B357" s="4" t="s">
        <v>131</v>
      </c>
      <c r="C357" s="3">
        <v>1</v>
      </c>
      <c r="D357" s="4">
        <v>100</v>
      </c>
      <c r="E357" s="3">
        <v>100</v>
      </c>
      <c r="F357" s="3" t="str">
        <f>PROPER(Table13[[#This Row],[Product Name(RAW)]])</f>
        <v xml:space="preserve">Chakri Bord </v>
      </c>
      <c r="G357" s="3" t="str">
        <f>TEXT(Table13[[#This Row],[Date]],"dddd")</f>
        <v>Friday</v>
      </c>
      <c r="H357" s="3" t="str">
        <f t="shared" si="10"/>
        <v>Week 3</v>
      </c>
      <c r="I357" s="3" t="str">
        <f t="shared" si="11"/>
        <v>15-21</v>
      </c>
    </row>
    <row r="358" spans="1:9" ht="18.75" x14ac:dyDescent="0.3">
      <c r="A358" s="5">
        <v>46192</v>
      </c>
      <c r="B358" s="4" t="s">
        <v>22</v>
      </c>
      <c r="C358" s="3">
        <v>4.5</v>
      </c>
      <c r="D358" s="4">
        <v>25</v>
      </c>
      <c r="E358" s="3">
        <v>110</v>
      </c>
      <c r="F358" s="3" t="str">
        <f>PROPER(Table13[[#This Row],[Product Name(RAW)]])</f>
        <v xml:space="preserve">2 Core Wire </v>
      </c>
      <c r="G358" s="3" t="str">
        <f>TEXT(Table13[[#This Row],[Date]],"dddd")</f>
        <v>Friday</v>
      </c>
      <c r="H358" s="3" t="str">
        <f t="shared" si="10"/>
        <v>Week 3</v>
      </c>
      <c r="I358" s="3" t="str">
        <f t="shared" si="11"/>
        <v>15-21</v>
      </c>
    </row>
    <row r="359" spans="1:9" ht="18.75" x14ac:dyDescent="0.3">
      <c r="A359" s="5">
        <v>46192</v>
      </c>
      <c r="B359" s="4" t="s">
        <v>87</v>
      </c>
      <c r="C359" s="3">
        <v>1</v>
      </c>
      <c r="D359" s="4">
        <v>10</v>
      </c>
      <c r="E359" s="3">
        <v>10</v>
      </c>
      <c r="F359" s="3" t="str">
        <f>PROPER(Table13[[#This Row],[Product Name(RAW)]])</f>
        <v xml:space="preserve">2 Pin </v>
      </c>
      <c r="G359" s="3" t="str">
        <f>TEXT(Table13[[#This Row],[Date]],"dddd")</f>
        <v>Friday</v>
      </c>
      <c r="H359" s="3" t="str">
        <f t="shared" si="10"/>
        <v>Week 3</v>
      </c>
      <c r="I359" s="3" t="str">
        <f t="shared" si="11"/>
        <v>15-21</v>
      </c>
    </row>
    <row r="360" spans="1:9" ht="18.75" x14ac:dyDescent="0.3">
      <c r="A360" s="5">
        <v>46192</v>
      </c>
      <c r="B360" s="4" t="s">
        <v>273</v>
      </c>
      <c r="C360" s="3">
        <v>1</v>
      </c>
      <c r="D360" s="4">
        <v>210</v>
      </c>
      <c r="E360" s="3">
        <v>210</v>
      </c>
      <c r="F360" s="3" t="str">
        <f>PROPER(Table13[[#This Row],[Product Name(RAW)]])</f>
        <v xml:space="preserve">Shegdi </v>
      </c>
      <c r="G360" s="3" t="str">
        <f>TEXT(Table13[[#This Row],[Date]],"dddd")</f>
        <v>Friday</v>
      </c>
      <c r="H360" s="3" t="str">
        <f t="shared" si="10"/>
        <v>Week 3</v>
      </c>
      <c r="I360" s="3" t="str">
        <f t="shared" si="11"/>
        <v>15-21</v>
      </c>
    </row>
    <row r="361" spans="1:9" ht="18.75" x14ac:dyDescent="0.3">
      <c r="A361" s="5">
        <v>46192</v>
      </c>
      <c r="B361" s="4" t="s">
        <v>15</v>
      </c>
      <c r="C361" s="3">
        <v>1</v>
      </c>
      <c r="D361" s="4">
        <v>70</v>
      </c>
      <c r="E361" s="3">
        <v>70</v>
      </c>
      <c r="F361" s="3" t="str">
        <f>PROPER(Table13[[#This Row],[Product Name(RAW)]])</f>
        <v xml:space="preserve">16A Top </v>
      </c>
      <c r="G361" s="3" t="str">
        <f>TEXT(Table13[[#This Row],[Date]],"dddd")</f>
        <v>Friday</v>
      </c>
      <c r="H361" s="3" t="str">
        <f t="shared" si="10"/>
        <v>Week 3</v>
      </c>
      <c r="I361" s="3" t="str">
        <f t="shared" si="11"/>
        <v>15-21</v>
      </c>
    </row>
    <row r="362" spans="1:9" ht="18.75" x14ac:dyDescent="0.3">
      <c r="A362" s="5">
        <v>46192</v>
      </c>
      <c r="B362" s="4" t="s">
        <v>22</v>
      </c>
      <c r="C362" s="3">
        <v>25</v>
      </c>
      <c r="D362" s="4">
        <v>25</v>
      </c>
      <c r="E362" s="3">
        <v>625</v>
      </c>
      <c r="F362" s="3" t="str">
        <f>PROPER(Table13[[#This Row],[Product Name(RAW)]])</f>
        <v xml:space="preserve">2 Core Wire </v>
      </c>
      <c r="G362" s="3" t="str">
        <f>TEXT(Table13[[#This Row],[Date]],"dddd")</f>
        <v>Friday</v>
      </c>
      <c r="H362" s="3" t="str">
        <f t="shared" si="10"/>
        <v>Week 3</v>
      </c>
      <c r="I362" s="3" t="str">
        <f t="shared" si="11"/>
        <v>15-21</v>
      </c>
    </row>
    <row r="363" spans="1:9" ht="18.75" x14ac:dyDescent="0.3">
      <c r="A363" s="5">
        <v>46192</v>
      </c>
      <c r="B363" s="4" t="s">
        <v>98</v>
      </c>
      <c r="C363" s="3">
        <v>1</v>
      </c>
      <c r="D363" s="4">
        <v>25</v>
      </c>
      <c r="E363" s="3">
        <v>25</v>
      </c>
      <c r="F363" s="3" t="str">
        <f>PROPER(Table13[[#This Row],[Product Name(RAW)]])</f>
        <v xml:space="preserve">Male Female </v>
      </c>
      <c r="G363" s="3" t="str">
        <f>TEXT(Table13[[#This Row],[Date]],"dddd")</f>
        <v>Friday</v>
      </c>
      <c r="H363" s="3" t="str">
        <f t="shared" si="10"/>
        <v>Week 3</v>
      </c>
      <c r="I363" s="3" t="str">
        <f t="shared" si="11"/>
        <v>15-21</v>
      </c>
    </row>
    <row r="364" spans="1:9" ht="18.75" x14ac:dyDescent="0.3">
      <c r="A364" s="5">
        <v>46193</v>
      </c>
      <c r="B364" s="4" t="s">
        <v>96</v>
      </c>
      <c r="C364" s="3">
        <v>3</v>
      </c>
      <c r="D364" s="4">
        <v>1550</v>
      </c>
      <c r="E364" s="6">
        <v>4650</v>
      </c>
      <c r="F364" s="3" t="str">
        <f>PROPER(Table13[[#This Row],[Product Name(RAW)]])</f>
        <v xml:space="preserve">1Mm Rr </v>
      </c>
      <c r="G364" s="3" t="str">
        <f>TEXT(Table13[[#This Row],[Date]],"dddd")</f>
        <v>Saturday</v>
      </c>
      <c r="H364" s="3" t="str">
        <f t="shared" si="10"/>
        <v>Week 3</v>
      </c>
      <c r="I364" s="3" t="str">
        <f t="shared" si="11"/>
        <v>15-21</v>
      </c>
    </row>
    <row r="365" spans="1:9" ht="18.75" x14ac:dyDescent="0.3">
      <c r="A365" s="5">
        <v>46193</v>
      </c>
      <c r="B365" s="4" t="s">
        <v>195</v>
      </c>
      <c r="C365" s="3">
        <v>2</v>
      </c>
      <c r="D365" s="4">
        <v>2300</v>
      </c>
      <c r="E365" s="3">
        <v>4600</v>
      </c>
      <c r="F365" s="3" t="str">
        <f>PROPER(Table13[[#This Row],[Product Name(RAW)]])</f>
        <v xml:space="preserve">1.5 Mm Rr </v>
      </c>
      <c r="G365" s="3" t="str">
        <f>TEXT(Table13[[#This Row],[Date]],"dddd")</f>
        <v>Saturday</v>
      </c>
      <c r="H365" s="3" t="str">
        <f t="shared" si="10"/>
        <v>Week 3</v>
      </c>
      <c r="I365" s="3" t="str">
        <f t="shared" si="11"/>
        <v>15-21</v>
      </c>
    </row>
    <row r="366" spans="1:9" ht="18.75" x14ac:dyDescent="0.3">
      <c r="A366" s="5">
        <v>46193</v>
      </c>
      <c r="B366" s="4" t="s">
        <v>196</v>
      </c>
      <c r="C366" s="3">
        <v>100</v>
      </c>
      <c r="D366" s="4">
        <v>42</v>
      </c>
      <c r="E366" s="3">
        <v>4200</v>
      </c>
      <c r="F366" s="3" t="str">
        <f>PROPER(Table13[[#This Row],[Product Name(RAW)]])</f>
        <v xml:space="preserve">2.5 Mm Rr </v>
      </c>
      <c r="G366" s="3" t="str">
        <f>TEXT(Table13[[#This Row],[Date]],"dddd")</f>
        <v>Saturday</v>
      </c>
      <c r="H366" s="3" t="str">
        <f t="shared" si="10"/>
        <v>Week 3</v>
      </c>
      <c r="I366" s="3" t="str">
        <f t="shared" si="11"/>
        <v>15-21</v>
      </c>
    </row>
    <row r="367" spans="1:9" ht="18.75" x14ac:dyDescent="0.3">
      <c r="A367" s="5">
        <v>46193</v>
      </c>
      <c r="B367" s="4" t="s">
        <v>118</v>
      </c>
      <c r="C367" s="3">
        <v>40</v>
      </c>
      <c r="D367" s="4">
        <v>7</v>
      </c>
      <c r="E367" s="3">
        <v>280</v>
      </c>
      <c r="F367" s="3" t="str">
        <f>PROPER(Table13[[#This Row],[Product Name(RAW)]])</f>
        <v xml:space="preserve">4'' Round Plate </v>
      </c>
      <c r="G367" s="3" t="str">
        <f>TEXT(Table13[[#This Row],[Date]],"dddd")</f>
        <v>Saturday</v>
      </c>
      <c r="H367" s="3" t="str">
        <f t="shared" si="10"/>
        <v>Week 3</v>
      </c>
      <c r="I367" s="3" t="str">
        <f t="shared" si="11"/>
        <v>15-21</v>
      </c>
    </row>
    <row r="368" spans="1:9" ht="18.75" x14ac:dyDescent="0.3">
      <c r="A368" s="5">
        <v>46193</v>
      </c>
      <c r="B368" s="4" t="s">
        <v>109</v>
      </c>
      <c r="C368" s="3">
        <v>10</v>
      </c>
      <c r="D368" s="4">
        <v>30</v>
      </c>
      <c r="E368" s="3">
        <v>300</v>
      </c>
      <c r="F368" s="3" t="str">
        <f>PROPER(Table13[[#This Row],[Product Name(RAW)]])</f>
        <v xml:space="preserve">A Holder </v>
      </c>
      <c r="G368" s="3" t="str">
        <f>TEXT(Table13[[#This Row],[Date]],"dddd")</f>
        <v>Saturday</v>
      </c>
      <c r="H368" s="3" t="str">
        <f t="shared" si="10"/>
        <v>Week 3</v>
      </c>
      <c r="I368" s="3" t="str">
        <f t="shared" si="11"/>
        <v>15-21</v>
      </c>
    </row>
    <row r="369" spans="1:9" ht="18.75" x14ac:dyDescent="0.3">
      <c r="A369" s="5">
        <v>46193</v>
      </c>
      <c r="B369" s="4" t="s">
        <v>197</v>
      </c>
      <c r="C369" s="3">
        <v>3</v>
      </c>
      <c r="D369" s="4">
        <v>12</v>
      </c>
      <c r="E369" s="3">
        <v>36</v>
      </c>
      <c r="F369" s="3" t="str">
        <f>PROPER(Table13[[#This Row],[Product Name(RAW)]])</f>
        <v xml:space="preserve">25/6 Sru </v>
      </c>
      <c r="G369" s="3" t="str">
        <f>TEXT(Table13[[#This Row],[Date]],"dddd")</f>
        <v>Saturday</v>
      </c>
      <c r="H369" s="3" t="str">
        <f t="shared" si="10"/>
        <v>Week 3</v>
      </c>
      <c r="I369" s="3" t="str">
        <f t="shared" si="11"/>
        <v>15-21</v>
      </c>
    </row>
    <row r="370" spans="1:9" ht="18.75" x14ac:dyDescent="0.3">
      <c r="A370" s="5">
        <v>46193</v>
      </c>
      <c r="B370" s="4" t="s">
        <v>198</v>
      </c>
      <c r="C370" s="3">
        <v>3</v>
      </c>
      <c r="D370" s="4">
        <v>15</v>
      </c>
      <c r="E370" s="3">
        <v>45</v>
      </c>
      <c r="F370" s="3" t="str">
        <f>PROPER(Table13[[#This Row],[Product Name(RAW)]])</f>
        <v xml:space="preserve">Mix Sru </v>
      </c>
      <c r="G370" s="3" t="str">
        <f>TEXT(Table13[[#This Row],[Date]],"dddd")</f>
        <v>Saturday</v>
      </c>
      <c r="H370" s="3" t="str">
        <f t="shared" si="10"/>
        <v>Week 3</v>
      </c>
      <c r="I370" s="3" t="str">
        <f t="shared" si="11"/>
        <v>15-21</v>
      </c>
    </row>
    <row r="371" spans="1:9" ht="18.75" x14ac:dyDescent="0.3">
      <c r="A371" s="5">
        <v>46193</v>
      </c>
      <c r="B371" s="4" t="s">
        <v>31</v>
      </c>
      <c r="C371" s="3">
        <v>10</v>
      </c>
      <c r="D371" s="4">
        <v>10</v>
      </c>
      <c r="E371" s="3">
        <v>100</v>
      </c>
      <c r="F371" s="3" t="str">
        <f>PROPER(Table13[[#This Row],[Product Name(RAW)]])</f>
        <v xml:space="preserve">Tep </v>
      </c>
      <c r="G371" s="3" t="str">
        <f>TEXT(Table13[[#This Row],[Date]],"dddd")</f>
        <v>Saturday</v>
      </c>
      <c r="H371" s="3" t="str">
        <f t="shared" si="10"/>
        <v>Week 3</v>
      </c>
      <c r="I371" s="3" t="str">
        <f t="shared" si="11"/>
        <v>15-21</v>
      </c>
    </row>
    <row r="372" spans="1:9" ht="18.75" x14ac:dyDescent="0.3">
      <c r="A372" s="5">
        <v>46193</v>
      </c>
      <c r="B372" s="4" t="s">
        <v>67</v>
      </c>
      <c r="C372" s="3">
        <v>1</v>
      </c>
      <c r="D372" s="4">
        <v>70</v>
      </c>
      <c r="E372" s="3">
        <v>70</v>
      </c>
      <c r="F372" s="3" t="str">
        <f>PROPER(Table13[[#This Row],[Product Name(RAW)]])</f>
        <v xml:space="preserve">16A Top </v>
      </c>
      <c r="G372" s="3" t="str">
        <f>TEXT(Table13[[#This Row],[Date]],"dddd")</f>
        <v>Saturday</v>
      </c>
      <c r="H372" s="3" t="str">
        <f t="shared" si="10"/>
        <v>Week 3</v>
      </c>
      <c r="I372" s="3" t="str">
        <f t="shared" si="11"/>
        <v>15-21</v>
      </c>
    </row>
    <row r="373" spans="1:9" ht="18.75" x14ac:dyDescent="0.3">
      <c r="A373" s="5">
        <v>46193</v>
      </c>
      <c r="B373" s="4" t="s">
        <v>196</v>
      </c>
      <c r="C373" s="3">
        <v>4</v>
      </c>
      <c r="D373" s="4">
        <v>42</v>
      </c>
      <c r="E373" s="3">
        <v>168</v>
      </c>
      <c r="F373" s="3" t="str">
        <f>PROPER(Table13[[#This Row],[Product Name(RAW)]])</f>
        <v xml:space="preserve">2.5 Mm Rr </v>
      </c>
      <c r="G373" s="3" t="str">
        <f>TEXT(Table13[[#This Row],[Date]],"dddd")</f>
        <v>Saturday</v>
      </c>
      <c r="H373" s="3" t="str">
        <f t="shared" si="10"/>
        <v>Week 3</v>
      </c>
      <c r="I373" s="3" t="str">
        <f t="shared" si="11"/>
        <v>15-21</v>
      </c>
    </row>
    <row r="374" spans="1:9" ht="18.75" x14ac:dyDescent="0.3">
      <c r="A374" s="5">
        <v>46193</v>
      </c>
      <c r="B374" s="4" t="s">
        <v>31</v>
      </c>
      <c r="C374" s="3">
        <v>1</v>
      </c>
      <c r="D374" s="4">
        <v>10</v>
      </c>
      <c r="E374" s="3">
        <v>10</v>
      </c>
      <c r="F374" s="3" t="str">
        <f>PROPER(Table13[[#This Row],[Product Name(RAW)]])</f>
        <v xml:space="preserve">Tep </v>
      </c>
      <c r="G374" s="3" t="str">
        <f>TEXT(Table13[[#This Row],[Date]],"dddd")</f>
        <v>Saturday</v>
      </c>
      <c r="H374" s="3" t="str">
        <f t="shared" si="10"/>
        <v>Week 3</v>
      </c>
      <c r="I374" s="3" t="str">
        <f t="shared" si="11"/>
        <v>15-21</v>
      </c>
    </row>
    <row r="375" spans="1:9" ht="18.75" x14ac:dyDescent="0.3">
      <c r="A375" s="5">
        <v>46193</v>
      </c>
      <c r="B375" s="4" t="s">
        <v>199</v>
      </c>
      <c r="C375" s="3">
        <v>1</v>
      </c>
      <c r="D375" s="4">
        <v>15</v>
      </c>
      <c r="E375" s="3">
        <v>15</v>
      </c>
      <c r="F375" s="3" t="str">
        <f>PROPER(Table13[[#This Row],[Product Name(RAW)]])</f>
        <v xml:space="preserve">50/8 Sru </v>
      </c>
      <c r="G375" s="3" t="str">
        <f>TEXT(Table13[[#This Row],[Date]],"dddd")</f>
        <v>Saturday</v>
      </c>
      <c r="H375" s="3" t="str">
        <f t="shared" si="10"/>
        <v>Week 3</v>
      </c>
      <c r="I375" s="3" t="str">
        <f t="shared" si="11"/>
        <v>15-21</v>
      </c>
    </row>
    <row r="376" spans="1:9" ht="18.75" x14ac:dyDescent="0.3">
      <c r="A376" s="5">
        <v>46193</v>
      </c>
      <c r="B376" s="4" t="s">
        <v>200</v>
      </c>
      <c r="C376" s="3">
        <v>1</v>
      </c>
      <c r="D376" s="4">
        <v>20</v>
      </c>
      <c r="E376" s="3">
        <v>20</v>
      </c>
      <c r="F376" s="3" t="str">
        <f>PROPER(Table13[[#This Row],[Product Name(RAW)]])</f>
        <v xml:space="preserve">75/8 Sru </v>
      </c>
      <c r="G376" s="3" t="str">
        <f>TEXT(Table13[[#This Row],[Date]],"dddd")</f>
        <v>Saturday</v>
      </c>
      <c r="H376" s="3" t="str">
        <f t="shared" si="10"/>
        <v>Week 3</v>
      </c>
      <c r="I376" s="3" t="str">
        <f t="shared" si="11"/>
        <v>15-21</v>
      </c>
    </row>
    <row r="377" spans="1:9" ht="18.75" x14ac:dyDescent="0.3">
      <c r="A377" s="5">
        <v>46193</v>
      </c>
      <c r="B377" s="4" t="s">
        <v>8</v>
      </c>
      <c r="C377" s="3">
        <v>1</v>
      </c>
      <c r="D377" s="4">
        <v>150</v>
      </c>
      <c r="E377" s="3">
        <v>150</v>
      </c>
      <c r="F377" s="3" t="str">
        <f>PROPER(Table13[[#This Row],[Product Name(RAW)]])</f>
        <v xml:space="preserve">Power Plate </v>
      </c>
      <c r="G377" s="3" t="str">
        <f>TEXT(Table13[[#This Row],[Date]],"dddd")</f>
        <v>Saturday</v>
      </c>
      <c r="H377" s="3" t="str">
        <f t="shared" si="10"/>
        <v>Week 3</v>
      </c>
      <c r="I377" s="3" t="str">
        <f t="shared" si="11"/>
        <v>15-21</v>
      </c>
    </row>
    <row r="378" spans="1:9" ht="18.75" x14ac:dyDescent="0.3">
      <c r="A378" s="5">
        <v>46193</v>
      </c>
      <c r="B378" s="4" t="s">
        <v>55</v>
      </c>
      <c r="C378" s="3">
        <v>1</v>
      </c>
      <c r="D378" s="4">
        <v>100</v>
      </c>
      <c r="E378" s="3">
        <v>100</v>
      </c>
      <c r="F378" s="3" t="str">
        <f>PROPER(Table13[[#This Row],[Product Name(RAW)]])</f>
        <v xml:space="preserve">3W Junction Light </v>
      </c>
      <c r="G378" s="3" t="str">
        <f>TEXT(Table13[[#This Row],[Date]],"dddd")</f>
        <v>Saturday</v>
      </c>
      <c r="H378" s="3" t="str">
        <f t="shared" si="10"/>
        <v>Week 3</v>
      </c>
      <c r="I378" s="3" t="str">
        <f t="shared" si="11"/>
        <v>15-21</v>
      </c>
    </row>
    <row r="379" spans="1:9" ht="18.75" x14ac:dyDescent="0.3">
      <c r="A379" s="5">
        <v>46193</v>
      </c>
      <c r="B379" s="4" t="s">
        <v>201</v>
      </c>
      <c r="C379" s="3">
        <v>1</v>
      </c>
      <c r="D379" s="4">
        <v>1000</v>
      </c>
      <c r="E379" s="3">
        <v>1000</v>
      </c>
      <c r="F379" s="3" t="str">
        <f>PROPER(Table13[[#This Row],[Product Name(RAW)]])</f>
        <v xml:space="preserve">24'' Fan </v>
      </c>
      <c r="G379" s="3" t="str">
        <f>TEXT(Table13[[#This Row],[Date]],"dddd")</f>
        <v>Saturday</v>
      </c>
      <c r="H379" s="3" t="str">
        <f t="shared" si="10"/>
        <v>Week 3</v>
      </c>
      <c r="I379" s="3" t="str">
        <f t="shared" si="11"/>
        <v>15-21</v>
      </c>
    </row>
    <row r="380" spans="1:9" ht="18.75" x14ac:dyDescent="0.3">
      <c r="A380" s="1">
        <v>46195</v>
      </c>
      <c r="B380" s="2" t="s">
        <v>6</v>
      </c>
      <c r="C380" s="2">
        <v>1</v>
      </c>
      <c r="D380" s="2">
        <v>150</v>
      </c>
      <c r="E380" s="2">
        <v>150</v>
      </c>
      <c r="F380" s="3" t="str">
        <f>PROPER(Table13[[#This Row],[Product Name(RAW)]])</f>
        <v xml:space="preserve">Cona Ss Com Box </v>
      </c>
      <c r="G380" s="3" t="str">
        <f>TEXT(Table13[[#This Row],[Date]],"dddd")</f>
        <v>Monday</v>
      </c>
      <c r="H380" s="3" t="str">
        <f t="shared" si="10"/>
        <v>Week 4</v>
      </c>
      <c r="I380" s="3" t="str">
        <f t="shared" si="11"/>
        <v>22-28</v>
      </c>
    </row>
    <row r="381" spans="1:9" ht="18.75" x14ac:dyDescent="0.3">
      <c r="A381" s="1">
        <v>46195</v>
      </c>
      <c r="B381" s="2" t="s">
        <v>202</v>
      </c>
      <c r="C381" s="2">
        <v>1</v>
      </c>
      <c r="D381" s="2">
        <v>150</v>
      </c>
      <c r="E381" s="2">
        <v>150</v>
      </c>
      <c r="F381" s="3" t="str">
        <f>PROPER(Table13[[#This Row],[Product Name(RAW)]])</f>
        <v xml:space="preserve">22 W Eco Link Tublight </v>
      </c>
      <c r="G381" s="3" t="str">
        <f>TEXT(Table13[[#This Row],[Date]],"dddd")</f>
        <v>Monday</v>
      </c>
      <c r="H381" s="3" t="str">
        <f t="shared" si="10"/>
        <v>Week 4</v>
      </c>
      <c r="I381" s="3" t="str">
        <f t="shared" si="11"/>
        <v>22-28</v>
      </c>
    </row>
    <row r="382" spans="1:9" ht="18.75" x14ac:dyDescent="0.3">
      <c r="A382" s="1">
        <v>46195</v>
      </c>
      <c r="B382" s="2" t="s">
        <v>269</v>
      </c>
      <c r="C382" s="2">
        <v>18</v>
      </c>
      <c r="D382" s="2">
        <v>15</v>
      </c>
      <c r="E382" s="2">
        <v>270</v>
      </c>
      <c r="F382" s="3" t="str">
        <f>PROPER(Table13[[#This Row],[Product Name(RAW)]])</f>
        <v xml:space="preserve">6A Switch </v>
      </c>
      <c r="G382" s="3" t="str">
        <f>TEXT(Table13[[#This Row],[Date]],"dddd")</f>
        <v>Monday</v>
      </c>
      <c r="H382" s="3" t="str">
        <f t="shared" si="10"/>
        <v>Week 4</v>
      </c>
      <c r="I382" s="3" t="str">
        <f t="shared" si="11"/>
        <v>22-28</v>
      </c>
    </row>
    <row r="383" spans="1:9" ht="18.75" x14ac:dyDescent="0.3">
      <c r="A383" s="1">
        <v>46195</v>
      </c>
      <c r="B383" s="2" t="s">
        <v>92</v>
      </c>
      <c r="C383" s="2">
        <v>4</v>
      </c>
      <c r="D383" s="2">
        <v>35</v>
      </c>
      <c r="E383" s="2">
        <v>140</v>
      </c>
      <c r="F383" s="3" t="str">
        <f>PROPER(Table13[[#This Row],[Product Name(RAW)]])</f>
        <v xml:space="preserve">6A Plug </v>
      </c>
      <c r="G383" s="3" t="str">
        <f>TEXT(Table13[[#This Row],[Date]],"dddd")</f>
        <v>Monday</v>
      </c>
      <c r="H383" s="3" t="str">
        <f t="shared" si="10"/>
        <v>Week 4</v>
      </c>
      <c r="I383" s="3" t="str">
        <f t="shared" si="11"/>
        <v>22-28</v>
      </c>
    </row>
    <row r="384" spans="1:9" ht="18.75" x14ac:dyDescent="0.3">
      <c r="A384" s="1">
        <v>46195</v>
      </c>
      <c r="B384" s="2" t="s">
        <v>203</v>
      </c>
      <c r="C384" s="2">
        <v>1</v>
      </c>
      <c r="D384" s="2">
        <v>40</v>
      </c>
      <c r="E384" s="2">
        <v>40</v>
      </c>
      <c r="F384" s="3" t="str">
        <f>PROPER(Table13[[#This Row],[Product Name(RAW)]])</f>
        <v xml:space="preserve">Indictor </v>
      </c>
      <c r="G384" s="3" t="str">
        <f>TEXT(Table13[[#This Row],[Date]],"dddd")</f>
        <v>Monday</v>
      </c>
      <c r="H384" s="3" t="str">
        <f t="shared" si="10"/>
        <v>Week 4</v>
      </c>
      <c r="I384" s="3" t="str">
        <f t="shared" si="11"/>
        <v>22-28</v>
      </c>
    </row>
    <row r="385" spans="1:9" ht="18.75" x14ac:dyDescent="0.3">
      <c r="A385" s="1">
        <v>46195</v>
      </c>
      <c r="B385" s="2" t="s">
        <v>115</v>
      </c>
      <c r="C385" s="2">
        <v>1</v>
      </c>
      <c r="D385" s="2">
        <v>80</v>
      </c>
      <c r="E385" s="2">
        <v>80</v>
      </c>
      <c r="F385" s="3" t="str">
        <f>PROPER(Table13[[#This Row],[Product Name(RAW)]])</f>
        <v xml:space="preserve">1M Regulator </v>
      </c>
      <c r="G385" s="3" t="str">
        <f>TEXT(Table13[[#This Row],[Date]],"dddd")</f>
        <v>Monday</v>
      </c>
      <c r="H385" s="3" t="str">
        <f t="shared" si="10"/>
        <v>Week 4</v>
      </c>
      <c r="I385" s="3" t="str">
        <f t="shared" si="11"/>
        <v>22-28</v>
      </c>
    </row>
    <row r="386" spans="1:9" ht="18.75" x14ac:dyDescent="0.3">
      <c r="A386" s="1">
        <v>46195</v>
      </c>
      <c r="B386" s="2" t="s">
        <v>24</v>
      </c>
      <c r="C386" s="2">
        <v>5</v>
      </c>
      <c r="D386" s="2">
        <v>15</v>
      </c>
      <c r="E386" s="2">
        <v>75</v>
      </c>
      <c r="F386" s="3" t="str">
        <f>PROPER(Table13[[#This Row],[Product Name(RAW)]])</f>
        <v xml:space="preserve">Sada Holder </v>
      </c>
      <c r="G386" s="3" t="str">
        <f>TEXT(Table13[[#This Row],[Date]],"dddd")</f>
        <v>Monday</v>
      </c>
      <c r="H386" s="3" t="str">
        <f t="shared" ref="H386:H449" si="13">"Week "&amp;ROUNDUP(DAY(A386)/7,0)</f>
        <v>Week 4</v>
      </c>
      <c r="I386" s="3" t="str">
        <f t="shared" ref="I386:I449" si="14">IF(DAY(A386)&lt;=7,"01-07",
IF(DAY(A386)&lt;=14,"08-14",
IF(DAY(A386)&lt;=21,"15-21",
IF(DAY(A386)&lt;=28,"22-28","29-30"))))</f>
        <v>22-28</v>
      </c>
    </row>
    <row r="387" spans="1:9" ht="18.75" x14ac:dyDescent="0.3">
      <c r="A387" s="1">
        <v>46195</v>
      </c>
      <c r="B387" s="2" t="s">
        <v>70</v>
      </c>
      <c r="C387" s="2">
        <v>1</v>
      </c>
      <c r="D387" s="2">
        <v>80</v>
      </c>
      <c r="E387" s="2">
        <v>80</v>
      </c>
      <c r="F387" s="3" t="str">
        <f>PROPER(Table13[[#This Row],[Product Name(RAW)]])</f>
        <v>32A Cutout Hindusathan</v>
      </c>
      <c r="G387" s="3" t="str">
        <f>TEXT(Table13[[#This Row],[Date]],"dddd")</f>
        <v>Monday</v>
      </c>
      <c r="H387" s="3" t="str">
        <f t="shared" si="13"/>
        <v>Week 4</v>
      </c>
      <c r="I387" s="3" t="str">
        <f t="shared" si="14"/>
        <v>22-28</v>
      </c>
    </row>
    <row r="388" spans="1:9" ht="18.75" x14ac:dyDescent="0.3">
      <c r="A388" s="1">
        <v>46195</v>
      </c>
      <c r="B388" s="2" t="s">
        <v>116</v>
      </c>
      <c r="C388" s="2">
        <v>1</v>
      </c>
      <c r="D388" s="2">
        <v>130</v>
      </c>
      <c r="E388" s="2">
        <v>130</v>
      </c>
      <c r="F388" s="3" t="str">
        <f>PROPER(Table13[[#This Row],[Product Name(RAW)]])</f>
        <v xml:space="preserve">Sp Mcb Legrand </v>
      </c>
      <c r="G388" s="3" t="str">
        <f>TEXT(Table13[[#This Row],[Date]],"dddd")</f>
        <v>Monday</v>
      </c>
      <c r="H388" s="3" t="str">
        <f t="shared" si="13"/>
        <v>Week 4</v>
      </c>
      <c r="I388" s="3" t="str">
        <f t="shared" si="14"/>
        <v>22-28</v>
      </c>
    </row>
    <row r="389" spans="1:9" ht="18.75" x14ac:dyDescent="0.3">
      <c r="A389" s="1">
        <v>46195</v>
      </c>
      <c r="B389" s="2" t="s">
        <v>12</v>
      </c>
      <c r="C389" s="2">
        <v>1</v>
      </c>
      <c r="D389" s="2">
        <v>30</v>
      </c>
      <c r="E389" s="2">
        <v>30</v>
      </c>
      <c r="F389" s="3" t="str">
        <f>PROPER(Table13[[#This Row],[Product Name(RAW)]])</f>
        <v xml:space="preserve">1/2 Mcb Box </v>
      </c>
      <c r="G389" s="3" t="str">
        <f>TEXT(Table13[[#This Row],[Date]],"dddd")</f>
        <v>Monday</v>
      </c>
      <c r="H389" s="3" t="str">
        <f t="shared" si="13"/>
        <v>Week 4</v>
      </c>
      <c r="I389" s="3" t="str">
        <f t="shared" si="14"/>
        <v>22-28</v>
      </c>
    </row>
    <row r="390" spans="1:9" ht="18.75" x14ac:dyDescent="0.3">
      <c r="A390" s="1">
        <v>46195</v>
      </c>
      <c r="B390" s="2" t="s">
        <v>31</v>
      </c>
      <c r="C390" s="2">
        <v>1</v>
      </c>
      <c r="D390" s="2">
        <v>10</v>
      </c>
      <c r="E390" s="2">
        <v>10</v>
      </c>
      <c r="F390" s="3" t="str">
        <f>PROPER(Table13[[#This Row],[Product Name(RAW)]])</f>
        <v xml:space="preserve">Tep </v>
      </c>
      <c r="G390" s="3" t="str">
        <f>TEXT(Table13[[#This Row],[Date]],"dddd")</f>
        <v>Monday</v>
      </c>
      <c r="H390" s="3" t="str">
        <f t="shared" si="13"/>
        <v>Week 4</v>
      </c>
      <c r="I390" s="3" t="str">
        <f t="shared" si="14"/>
        <v>22-28</v>
      </c>
    </row>
    <row r="391" spans="1:9" ht="18.75" x14ac:dyDescent="0.3">
      <c r="A391" s="1">
        <v>46195</v>
      </c>
      <c r="B391" s="2" t="s">
        <v>204</v>
      </c>
      <c r="C391" s="2">
        <v>1</v>
      </c>
      <c r="D391" s="2">
        <v>950</v>
      </c>
      <c r="E391" s="2">
        <v>950</v>
      </c>
      <c r="F391" s="3" t="str">
        <f>PROPER(Table13[[#This Row],[Product Name(RAW)]])</f>
        <v xml:space="preserve">1 Mm Harison Wire </v>
      </c>
      <c r="G391" s="3" t="str">
        <f>TEXT(Table13[[#This Row],[Date]],"dddd")</f>
        <v>Monday</v>
      </c>
      <c r="H391" s="3" t="str">
        <f t="shared" si="13"/>
        <v>Week 4</v>
      </c>
      <c r="I391" s="3" t="str">
        <f t="shared" si="14"/>
        <v>22-28</v>
      </c>
    </row>
    <row r="392" spans="1:9" ht="18.75" x14ac:dyDescent="0.3">
      <c r="A392" s="1">
        <v>46195</v>
      </c>
      <c r="B392" s="2" t="s">
        <v>205</v>
      </c>
      <c r="C392" s="2">
        <v>1</v>
      </c>
      <c r="D392" s="2">
        <v>330</v>
      </c>
      <c r="E392" s="2">
        <v>330</v>
      </c>
      <c r="F392" s="3" t="str">
        <f>PROPER(Table13[[#This Row],[Product Name(RAW)]])</f>
        <v xml:space="preserve">9W Ecolink Light </v>
      </c>
      <c r="G392" s="3" t="str">
        <f>TEXT(Table13[[#This Row],[Date]],"dddd")</f>
        <v>Monday</v>
      </c>
      <c r="H392" s="3" t="str">
        <f t="shared" si="13"/>
        <v>Week 4</v>
      </c>
      <c r="I392" s="3" t="str">
        <f t="shared" si="14"/>
        <v>22-28</v>
      </c>
    </row>
    <row r="393" spans="1:9" ht="18.75" x14ac:dyDescent="0.3">
      <c r="A393" s="1">
        <v>46195</v>
      </c>
      <c r="B393" s="2" t="s">
        <v>206</v>
      </c>
      <c r="C393" s="2">
        <v>1</v>
      </c>
      <c r="D393" s="2">
        <v>2700</v>
      </c>
      <c r="E393" s="2">
        <v>2700</v>
      </c>
      <c r="F393" s="3" t="str">
        <f>PROPER(Table13[[#This Row],[Product Name(RAW)]])</f>
        <v>Infrared</v>
      </c>
      <c r="G393" s="3" t="str">
        <f>TEXT(Table13[[#This Row],[Date]],"dddd")</f>
        <v>Monday</v>
      </c>
      <c r="H393" s="3" t="str">
        <f t="shared" si="13"/>
        <v>Week 4</v>
      </c>
      <c r="I393" s="3" t="str">
        <f t="shared" si="14"/>
        <v>22-28</v>
      </c>
    </row>
    <row r="394" spans="1:9" ht="18.75" x14ac:dyDescent="0.3">
      <c r="A394" s="1">
        <v>46195</v>
      </c>
      <c r="B394" s="2" t="s">
        <v>196</v>
      </c>
      <c r="C394" s="2">
        <v>1</v>
      </c>
      <c r="D394" s="2">
        <v>45</v>
      </c>
      <c r="E394" s="2">
        <v>45</v>
      </c>
      <c r="F394" s="3" t="str">
        <f>PROPER(Table13[[#This Row],[Product Name(RAW)]])</f>
        <v xml:space="preserve">2.5 Mm Rr </v>
      </c>
      <c r="G394" s="3" t="str">
        <f>TEXT(Table13[[#This Row],[Date]],"dddd")</f>
        <v>Monday</v>
      </c>
      <c r="H394" s="3" t="str">
        <f t="shared" si="13"/>
        <v>Week 4</v>
      </c>
      <c r="I394" s="3" t="str">
        <f t="shared" si="14"/>
        <v>22-28</v>
      </c>
    </row>
    <row r="395" spans="1:9" ht="18.75" x14ac:dyDescent="0.3">
      <c r="A395" s="1">
        <v>46195</v>
      </c>
      <c r="B395" s="2" t="s">
        <v>31</v>
      </c>
      <c r="C395" s="2">
        <v>1</v>
      </c>
      <c r="D395" s="2">
        <v>10</v>
      </c>
      <c r="E395" s="2">
        <v>10</v>
      </c>
      <c r="F395" s="3" t="str">
        <f>PROPER(Table13[[#This Row],[Product Name(RAW)]])</f>
        <v xml:space="preserve">Tep </v>
      </c>
      <c r="G395" s="3" t="str">
        <f>TEXT(Table13[[#This Row],[Date]],"dddd")</f>
        <v>Monday</v>
      </c>
      <c r="H395" s="3" t="str">
        <f t="shared" si="13"/>
        <v>Week 4</v>
      </c>
      <c r="I395" s="3" t="str">
        <f t="shared" si="14"/>
        <v>22-28</v>
      </c>
    </row>
    <row r="396" spans="1:9" ht="18.75" x14ac:dyDescent="0.3">
      <c r="A396" s="1">
        <v>46196</v>
      </c>
      <c r="B396" s="2" t="s">
        <v>207</v>
      </c>
      <c r="C396" s="2">
        <v>1</v>
      </c>
      <c r="D396" s="2">
        <v>15</v>
      </c>
      <c r="E396" s="2">
        <v>15</v>
      </c>
      <c r="F396" s="3" t="str">
        <f>PROPER(Table13[[#This Row],[Product Name(RAW)]])</f>
        <v xml:space="preserve">3 Inch Sru </v>
      </c>
      <c r="G396" s="3" t="str">
        <f>TEXT(Table13[[#This Row],[Date]],"dddd")</f>
        <v>Tuesday</v>
      </c>
      <c r="H396" s="3" t="str">
        <f t="shared" si="13"/>
        <v>Week 4</v>
      </c>
      <c r="I396" s="3" t="str">
        <f t="shared" si="14"/>
        <v>22-28</v>
      </c>
    </row>
    <row r="397" spans="1:9" ht="18.75" x14ac:dyDescent="0.3">
      <c r="A397" s="1">
        <v>46196</v>
      </c>
      <c r="B397" s="2" t="s">
        <v>40</v>
      </c>
      <c r="C397" s="2">
        <v>1</v>
      </c>
      <c r="D397" s="2">
        <v>210</v>
      </c>
      <c r="E397" s="2">
        <v>210</v>
      </c>
      <c r="F397" s="3" t="str">
        <f>PROPER(Table13[[#This Row],[Product Name(RAW)]])</f>
        <v xml:space="preserve">Cona Power Box </v>
      </c>
      <c r="G397" s="3" t="str">
        <f>TEXT(Table13[[#This Row],[Date]],"dddd")</f>
        <v>Tuesday</v>
      </c>
      <c r="H397" s="3" t="str">
        <f t="shared" si="13"/>
        <v>Week 4</v>
      </c>
      <c r="I397" s="3" t="str">
        <f t="shared" si="14"/>
        <v>22-28</v>
      </c>
    </row>
    <row r="398" spans="1:9" ht="18.75" x14ac:dyDescent="0.3">
      <c r="A398" s="1">
        <v>46196</v>
      </c>
      <c r="B398" s="2" t="s">
        <v>268</v>
      </c>
      <c r="C398" s="2">
        <v>7</v>
      </c>
      <c r="D398" s="2">
        <v>46</v>
      </c>
      <c r="E398" s="2">
        <f>SUM(E400:E408)</f>
        <v>2888</v>
      </c>
      <c r="F398" s="3" t="str">
        <f>PROPER(Table13[[#This Row],[Product Name(RAW)]])</f>
        <v xml:space="preserve">16A Switch Jiva </v>
      </c>
      <c r="G398" s="3" t="str">
        <f>TEXT(Table13[[#This Row],[Date]],"dddd")</f>
        <v>Tuesday</v>
      </c>
      <c r="H398" s="3" t="str">
        <f t="shared" si="13"/>
        <v>Week 4</v>
      </c>
      <c r="I398" s="3" t="str">
        <f t="shared" si="14"/>
        <v>22-28</v>
      </c>
    </row>
    <row r="399" spans="1:9" ht="18.75" x14ac:dyDescent="0.3">
      <c r="A399" s="1">
        <v>46196</v>
      </c>
      <c r="B399" s="2" t="s">
        <v>62</v>
      </c>
      <c r="C399" s="2">
        <v>7</v>
      </c>
      <c r="D399" s="2">
        <v>75</v>
      </c>
      <c r="E399" s="2">
        <v>525</v>
      </c>
      <c r="F399" s="3" t="str">
        <f>PROPER(Table13[[#This Row],[Product Name(RAW)]])</f>
        <v xml:space="preserve">16A Plug Jiva </v>
      </c>
      <c r="G399" s="3" t="str">
        <f>TEXT(Table13[[#This Row],[Date]],"dddd")</f>
        <v>Tuesday</v>
      </c>
      <c r="H399" s="3" t="str">
        <f t="shared" si="13"/>
        <v>Week 4</v>
      </c>
      <c r="I399" s="3" t="str">
        <f t="shared" si="14"/>
        <v>22-28</v>
      </c>
    </row>
    <row r="400" spans="1:9" ht="18.75" x14ac:dyDescent="0.3">
      <c r="A400" s="1">
        <v>46196</v>
      </c>
      <c r="B400" s="2" t="s">
        <v>299</v>
      </c>
      <c r="C400" s="2">
        <v>6</v>
      </c>
      <c r="D400" s="2">
        <v>10</v>
      </c>
      <c r="E400" s="2">
        <v>60</v>
      </c>
      <c r="F400" s="3" t="str">
        <f>PROPER(Table13[[#This Row],[Product Name(RAW)]])</f>
        <v xml:space="preserve"> Plate </v>
      </c>
      <c r="G400" s="3" t="str">
        <f>TEXT(Table13[[#This Row],[Date]],"dddd")</f>
        <v>Tuesday</v>
      </c>
      <c r="H400" s="3" t="str">
        <f t="shared" si="13"/>
        <v>Week 4</v>
      </c>
      <c r="I400" s="3" t="str">
        <f t="shared" si="14"/>
        <v>22-28</v>
      </c>
    </row>
    <row r="401" spans="1:9" ht="18.75" x14ac:dyDescent="0.3">
      <c r="A401" s="1">
        <v>46196</v>
      </c>
      <c r="B401" s="2" t="s">
        <v>70</v>
      </c>
      <c r="C401" s="2">
        <v>2</v>
      </c>
      <c r="D401" s="2">
        <v>80</v>
      </c>
      <c r="E401" s="2">
        <v>160</v>
      </c>
      <c r="F401" s="3" t="str">
        <f>PROPER(Table13[[#This Row],[Product Name(RAW)]])</f>
        <v>32A Cutout Hindusathan</v>
      </c>
      <c r="G401" s="3" t="str">
        <f>TEXT(Table13[[#This Row],[Date]],"dddd")</f>
        <v>Tuesday</v>
      </c>
      <c r="H401" s="3" t="str">
        <f t="shared" si="13"/>
        <v>Week 4</v>
      </c>
      <c r="I401" s="3" t="str">
        <f t="shared" si="14"/>
        <v>22-28</v>
      </c>
    </row>
    <row r="402" spans="1:9" ht="18.75" x14ac:dyDescent="0.3">
      <c r="A402" s="1">
        <v>46196</v>
      </c>
      <c r="B402" s="2" t="s">
        <v>116</v>
      </c>
      <c r="C402" s="2">
        <v>4</v>
      </c>
      <c r="D402" s="2">
        <v>130</v>
      </c>
      <c r="E402" s="2">
        <v>520</v>
      </c>
      <c r="F402" s="3" t="str">
        <f>PROPER(Table13[[#This Row],[Product Name(RAW)]])</f>
        <v xml:space="preserve">Sp Mcb Legrand </v>
      </c>
      <c r="G402" s="3" t="str">
        <f>TEXT(Table13[[#This Row],[Date]],"dddd")</f>
        <v>Tuesday</v>
      </c>
      <c r="H402" s="3" t="str">
        <f t="shared" si="13"/>
        <v>Week 4</v>
      </c>
      <c r="I402" s="3" t="str">
        <f t="shared" si="14"/>
        <v>22-28</v>
      </c>
    </row>
    <row r="403" spans="1:9" ht="18.75" x14ac:dyDescent="0.3">
      <c r="A403" s="1">
        <v>46196</v>
      </c>
      <c r="B403" s="2" t="s">
        <v>208</v>
      </c>
      <c r="C403" s="2">
        <v>2</v>
      </c>
      <c r="D403" s="2">
        <v>12</v>
      </c>
      <c r="E403" s="2">
        <v>24</v>
      </c>
      <c r="F403" s="3" t="str">
        <f>PROPER(Table13[[#This Row],[Product Name(RAW)]])</f>
        <v xml:space="preserve">Csing 2 Way </v>
      </c>
      <c r="G403" s="3" t="str">
        <f>TEXT(Table13[[#This Row],[Date]],"dddd")</f>
        <v>Tuesday</v>
      </c>
      <c r="H403" s="3" t="str">
        <f t="shared" si="13"/>
        <v>Week 4</v>
      </c>
      <c r="I403" s="3" t="str">
        <f t="shared" si="14"/>
        <v>22-28</v>
      </c>
    </row>
    <row r="404" spans="1:9" ht="18.75" x14ac:dyDescent="0.3">
      <c r="A404" s="1">
        <v>46196</v>
      </c>
      <c r="B404" s="2" t="s">
        <v>267</v>
      </c>
      <c r="C404" s="2">
        <v>33</v>
      </c>
      <c r="D404" s="2">
        <v>13</v>
      </c>
      <c r="E404" s="2">
        <v>429</v>
      </c>
      <c r="F404" s="3" t="str">
        <f>PROPER(Table13[[#This Row],[Product Name(RAW)]])</f>
        <v xml:space="preserve">6A Switch Jiva </v>
      </c>
      <c r="G404" s="3" t="str">
        <f>TEXT(Table13[[#This Row],[Date]],"dddd")</f>
        <v>Tuesday</v>
      </c>
      <c r="H404" s="3" t="str">
        <f t="shared" si="13"/>
        <v>Week 4</v>
      </c>
      <c r="I404" s="3" t="str">
        <f t="shared" si="14"/>
        <v>22-28</v>
      </c>
    </row>
    <row r="405" spans="1:9" ht="18.75" x14ac:dyDescent="0.3">
      <c r="A405" s="1">
        <v>46196</v>
      </c>
      <c r="B405" s="2" t="s">
        <v>209</v>
      </c>
      <c r="C405" s="2">
        <v>13</v>
      </c>
      <c r="D405" s="2">
        <v>35</v>
      </c>
      <c r="E405" s="2">
        <v>455</v>
      </c>
      <c r="F405" s="3" t="str">
        <f>PROPER(Table13[[#This Row],[Product Name(RAW)]])</f>
        <v xml:space="preserve">6A Plug Jiva </v>
      </c>
      <c r="G405" s="3" t="str">
        <f>TEXT(Table13[[#This Row],[Date]],"dddd")</f>
        <v>Tuesday</v>
      </c>
      <c r="H405" s="3" t="str">
        <f t="shared" si="13"/>
        <v>Week 4</v>
      </c>
      <c r="I405" s="3" t="str">
        <f t="shared" si="14"/>
        <v>22-28</v>
      </c>
    </row>
    <row r="406" spans="1:9" ht="18.75" x14ac:dyDescent="0.3">
      <c r="A406" s="1">
        <v>46196</v>
      </c>
      <c r="B406" s="2" t="s">
        <v>60</v>
      </c>
      <c r="C406" s="2">
        <v>3</v>
      </c>
      <c r="D406" s="2">
        <v>40</v>
      </c>
      <c r="E406" s="2">
        <v>120</v>
      </c>
      <c r="F406" s="3" t="str">
        <f>PROPER(Table13[[#This Row],[Product Name(RAW)]])</f>
        <v>Indicator Jiva</v>
      </c>
      <c r="G406" s="3" t="str">
        <f>TEXT(Table13[[#This Row],[Date]],"dddd")</f>
        <v>Tuesday</v>
      </c>
      <c r="H406" s="3" t="str">
        <f t="shared" si="13"/>
        <v>Week 4</v>
      </c>
      <c r="I406" s="3" t="str">
        <f t="shared" si="14"/>
        <v>22-28</v>
      </c>
    </row>
    <row r="407" spans="1:9" ht="18.75" x14ac:dyDescent="0.3">
      <c r="A407" s="1">
        <v>46196</v>
      </c>
      <c r="B407" s="2" t="s">
        <v>115</v>
      </c>
      <c r="C407" s="2">
        <v>2</v>
      </c>
      <c r="D407" s="2">
        <v>180</v>
      </c>
      <c r="E407" s="2">
        <v>360</v>
      </c>
      <c r="F407" s="3" t="str">
        <f>PROPER(Table13[[#This Row],[Product Name(RAW)]])</f>
        <v xml:space="preserve">1M Regulator </v>
      </c>
      <c r="G407" s="3" t="str">
        <f>TEXT(Table13[[#This Row],[Date]],"dddd")</f>
        <v>Tuesday</v>
      </c>
      <c r="H407" s="3" t="str">
        <f t="shared" si="13"/>
        <v>Week 4</v>
      </c>
      <c r="I407" s="3" t="str">
        <f t="shared" si="14"/>
        <v>22-28</v>
      </c>
    </row>
    <row r="408" spans="1:9" ht="18.75" x14ac:dyDescent="0.3">
      <c r="A408" s="1">
        <v>46196</v>
      </c>
      <c r="B408" s="2" t="s">
        <v>210</v>
      </c>
      <c r="C408" s="2">
        <v>4</v>
      </c>
      <c r="D408" s="2">
        <v>190</v>
      </c>
      <c r="E408" s="2">
        <f t="shared" ref="E408:E413" si="15">C408*D408</f>
        <v>760</v>
      </c>
      <c r="F408" s="3" t="str">
        <f>PROPER(Table13[[#This Row],[Product Name(RAW)]])</f>
        <v xml:space="preserve">Mini Mcb Jiva </v>
      </c>
      <c r="G408" s="3" t="str">
        <f>TEXT(Table13[[#This Row],[Date]],"dddd")</f>
        <v>Tuesday</v>
      </c>
      <c r="H408" s="3" t="str">
        <f t="shared" si="13"/>
        <v>Week 4</v>
      </c>
      <c r="I408" s="3" t="str">
        <f t="shared" si="14"/>
        <v>22-28</v>
      </c>
    </row>
    <row r="409" spans="1:9" ht="18.75" x14ac:dyDescent="0.3">
      <c r="A409" s="1">
        <v>46196</v>
      </c>
      <c r="B409" s="2" t="s">
        <v>116</v>
      </c>
      <c r="C409" s="2">
        <v>2</v>
      </c>
      <c r="D409" s="2">
        <v>130</v>
      </c>
      <c r="E409" s="2">
        <f t="shared" si="15"/>
        <v>260</v>
      </c>
      <c r="F409" s="3" t="str">
        <f>PROPER(Table13[[#This Row],[Product Name(RAW)]])</f>
        <v xml:space="preserve">Sp Mcb Legrand </v>
      </c>
      <c r="G409" s="3" t="str">
        <f>TEXT(Table13[[#This Row],[Date]],"dddd")</f>
        <v>Tuesday</v>
      </c>
      <c r="H409" s="3" t="str">
        <f t="shared" si="13"/>
        <v>Week 4</v>
      </c>
      <c r="I409" s="3" t="str">
        <f t="shared" si="14"/>
        <v>22-28</v>
      </c>
    </row>
    <row r="410" spans="1:9" ht="18.75" x14ac:dyDescent="0.3">
      <c r="A410" s="1">
        <v>46196</v>
      </c>
      <c r="B410" s="2" t="s">
        <v>268</v>
      </c>
      <c r="C410" s="2">
        <v>4</v>
      </c>
      <c r="D410" s="2">
        <v>46</v>
      </c>
      <c r="E410" s="2">
        <f t="shared" si="15"/>
        <v>184</v>
      </c>
      <c r="F410" s="3" t="str">
        <f>PROPER(Table13[[#This Row],[Product Name(RAW)]])</f>
        <v xml:space="preserve">16A Switch Jiva </v>
      </c>
      <c r="G410" s="3" t="str">
        <f>TEXT(Table13[[#This Row],[Date]],"dddd")</f>
        <v>Tuesday</v>
      </c>
      <c r="H410" s="3" t="str">
        <f t="shared" si="13"/>
        <v>Week 4</v>
      </c>
      <c r="I410" s="3" t="str">
        <f t="shared" si="14"/>
        <v>22-28</v>
      </c>
    </row>
    <row r="411" spans="1:9" ht="18.75" x14ac:dyDescent="0.3">
      <c r="A411" s="1">
        <v>46196</v>
      </c>
      <c r="B411" s="2" t="s">
        <v>62</v>
      </c>
      <c r="C411" s="2">
        <v>4</v>
      </c>
      <c r="D411" s="2">
        <v>75</v>
      </c>
      <c r="E411" s="2">
        <f t="shared" si="15"/>
        <v>300</v>
      </c>
      <c r="F411" s="3" t="str">
        <f>PROPER(Table13[[#This Row],[Product Name(RAW)]])</f>
        <v xml:space="preserve">16A Plug Jiva </v>
      </c>
      <c r="G411" s="3" t="str">
        <f>TEXT(Table13[[#This Row],[Date]],"dddd")</f>
        <v>Tuesday</v>
      </c>
      <c r="H411" s="3" t="str">
        <f t="shared" si="13"/>
        <v>Week 4</v>
      </c>
      <c r="I411" s="3" t="str">
        <f t="shared" si="14"/>
        <v>22-28</v>
      </c>
    </row>
    <row r="412" spans="1:9" ht="18.75" x14ac:dyDescent="0.3">
      <c r="A412" s="1">
        <v>46196</v>
      </c>
      <c r="B412" s="2" t="s">
        <v>40</v>
      </c>
      <c r="C412" s="2">
        <v>2</v>
      </c>
      <c r="D412" s="2">
        <v>210</v>
      </c>
      <c r="E412" s="2">
        <f t="shared" si="15"/>
        <v>420</v>
      </c>
      <c r="F412" s="3" t="str">
        <f>PROPER(Table13[[#This Row],[Product Name(RAW)]])</f>
        <v xml:space="preserve">Cona Power Box </v>
      </c>
      <c r="G412" s="3" t="str">
        <f>TEXT(Table13[[#This Row],[Date]],"dddd")</f>
        <v>Tuesday</v>
      </c>
      <c r="H412" s="3" t="str">
        <f t="shared" si="13"/>
        <v>Week 4</v>
      </c>
      <c r="I412" s="3" t="str">
        <f t="shared" si="14"/>
        <v>22-28</v>
      </c>
    </row>
    <row r="413" spans="1:9" ht="18.75" x14ac:dyDescent="0.3">
      <c r="A413" s="1">
        <v>46196</v>
      </c>
      <c r="B413" s="2" t="s">
        <v>15</v>
      </c>
      <c r="C413" s="2">
        <v>2</v>
      </c>
      <c r="D413" s="2">
        <v>70</v>
      </c>
      <c r="E413" s="2">
        <f t="shared" si="15"/>
        <v>140</v>
      </c>
      <c r="F413" s="3" t="str">
        <f>PROPER(Table13[[#This Row],[Product Name(RAW)]])</f>
        <v xml:space="preserve">16A Top </v>
      </c>
      <c r="G413" s="3" t="str">
        <f>TEXT(Table13[[#This Row],[Date]],"dddd")</f>
        <v>Tuesday</v>
      </c>
      <c r="H413" s="3" t="str">
        <f t="shared" si="13"/>
        <v>Week 4</v>
      </c>
      <c r="I413" s="3" t="str">
        <f t="shared" si="14"/>
        <v>22-28</v>
      </c>
    </row>
    <row r="414" spans="1:9" ht="18.75" x14ac:dyDescent="0.3">
      <c r="A414" s="1">
        <v>46196</v>
      </c>
      <c r="B414" s="2" t="s">
        <v>211</v>
      </c>
      <c r="C414" s="2">
        <v>1</v>
      </c>
      <c r="D414" s="2">
        <v>37</v>
      </c>
      <c r="E414" s="2">
        <v>37</v>
      </c>
      <c r="F414" s="3" t="str">
        <f>PROPER(Table13[[#This Row],[Product Name(RAW)]])</f>
        <v xml:space="preserve">Bell Witch Jiva </v>
      </c>
      <c r="G414" s="3" t="str">
        <f>TEXT(Table13[[#This Row],[Date]],"dddd")</f>
        <v>Tuesday</v>
      </c>
      <c r="H414" s="3" t="str">
        <f t="shared" si="13"/>
        <v>Week 4</v>
      </c>
      <c r="I414" s="3" t="str">
        <f t="shared" si="14"/>
        <v>22-28</v>
      </c>
    </row>
    <row r="415" spans="1:9" ht="18.75" x14ac:dyDescent="0.3">
      <c r="A415" s="1">
        <v>46196</v>
      </c>
      <c r="B415" s="2" t="s">
        <v>212</v>
      </c>
      <c r="C415" s="2">
        <v>2</v>
      </c>
      <c r="D415" s="2">
        <v>160</v>
      </c>
      <c r="E415" s="2">
        <f>C415*D415</f>
        <v>320</v>
      </c>
      <c r="F415" s="3" t="str">
        <f>PROPER(Table13[[#This Row],[Product Name(RAW)]])</f>
        <v xml:space="preserve">18M Plate Jiva </v>
      </c>
      <c r="G415" s="3" t="str">
        <f>TEXT(Table13[[#This Row],[Date]],"dddd")</f>
        <v>Tuesday</v>
      </c>
      <c r="H415" s="3" t="str">
        <f t="shared" si="13"/>
        <v>Week 4</v>
      </c>
      <c r="I415" s="3" t="str">
        <f t="shared" si="14"/>
        <v>22-28</v>
      </c>
    </row>
    <row r="416" spans="1:9" ht="18.75" x14ac:dyDescent="0.3">
      <c r="A416" s="1">
        <v>46196</v>
      </c>
      <c r="B416" s="2" t="s">
        <v>112</v>
      </c>
      <c r="C416" s="2">
        <v>2</v>
      </c>
      <c r="D416" s="2">
        <v>140</v>
      </c>
      <c r="E416" s="2">
        <f>C416*D416</f>
        <v>280</v>
      </c>
      <c r="F416" s="3" t="str">
        <f>PROPER(Table13[[#This Row],[Product Name(RAW)]])</f>
        <v xml:space="preserve">12M Plate Jiva </v>
      </c>
      <c r="G416" s="3" t="str">
        <f>TEXT(Table13[[#This Row],[Date]],"dddd")</f>
        <v>Tuesday</v>
      </c>
      <c r="H416" s="3" t="str">
        <f t="shared" si="13"/>
        <v>Week 4</v>
      </c>
      <c r="I416" s="3" t="str">
        <f t="shared" si="14"/>
        <v>22-28</v>
      </c>
    </row>
    <row r="417" spans="1:9" ht="18.75" x14ac:dyDescent="0.3">
      <c r="A417" s="1">
        <v>46196</v>
      </c>
      <c r="B417" s="2" t="s">
        <v>113</v>
      </c>
      <c r="C417" s="2">
        <v>3</v>
      </c>
      <c r="D417" s="2">
        <v>85</v>
      </c>
      <c r="E417" s="2">
        <f>C417*D417</f>
        <v>255</v>
      </c>
      <c r="F417" s="3" t="str">
        <f>PROPER(Table13[[#This Row],[Product Name(RAW)]])</f>
        <v xml:space="preserve">6M Plate Jiva </v>
      </c>
      <c r="G417" s="3" t="str">
        <f>TEXT(Table13[[#This Row],[Date]],"dddd")</f>
        <v>Tuesday</v>
      </c>
      <c r="H417" s="3" t="str">
        <f t="shared" si="13"/>
        <v>Week 4</v>
      </c>
      <c r="I417" s="3" t="str">
        <f t="shared" si="14"/>
        <v>22-28</v>
      </c>
    </row>
    <row r="418" spans="1:9" ht="18.75" x14ac:dyDescent="0.3">
      <c r="A418" s="1">
        <v>46196</v>
      </c>
      <c r="B418" s="2" t="s">
        <v>177</v>
      </c>
      <c r="C418" s="2">
        <v>1</v>
      </c>
      <c r="D418" s="2">
        <v>62</v>
      </c>
      <c r="E418" s="2">
        <f>C418*D418</f>
        <v>62</v>
      </c>
      <c r="F418" s="3" t="str">
        <f>PROPER(Table13[[#This Row],[Product Name(RAW)]])</f>
        <v xml:space="preserve">4M Plate Jiva </v>
      </c>
      <c r="G418" s="3" t="str">
        <f>TEXT(Table13[[#This Row],[Date]],"dddd")</f>
        <v>Tuesday</v>
      </c>
      <c r="H418" s="3" t="str">
        <f t="shared" si="13"/>
        <v>Week 4</v>
      </c>
      <c r="I418" s="3" t="str">
        <f t="shared" si="14"/>
        <v>22-28</v>
      </c>
    </row>
    <row r="419" spans="1:9" ht="18.75" x14ac:dyDescent="0.3">
      <c r="A419" s="1">
        <v>46196</v>
      </c>
      <c r="B419" s="2" t="s">
        <v>178</v>
      </c>
      <c r="C419" s="2">
        <v>1</v>
      </c>
      <c r="D419" s="2">
        <v>100</v>
      </c>
      <c r="E419" s="2">
        <f>C419*D419</f>
        <v>100</v>
      </c>
      <c r="F419" s="3" t="str">
        <f>PROPER(Table13[[#This Row],[Product Name(RAW)]])</f>
        <v xml:space="preserve">4M Foot Light </v>
      </c>
      <c r="G419" s="3" t="str">
        <f>TEXT(Table13[[#This Row],[Date]],"dddd")</f>
        <v>Tuesday</v>
      </c>
      <c r="H419" s="3" t="str">
        <f t="shared" si="13"/>
        <v>Week 4</v>
      </c>
      <c r="I419" s="3" t="str">
        <f t="shared" si="14"/>
        <v>22-28</v>
      </c>
    </row>
    <row r="420" spans="1:9" ht="18.75" x14ac:dyDescent="0.3">
      <c r="A420" s="1">
        <v>46196</v>
      </c>
      <c r="B420" s="2" t="s">
        <v>211</v>
      </c>
      <c r="C420" s="2">
        <v>1</v>
      </c>
      <c r="D420" s="2">
        <v>140</v>
      </c>
      <c r="E420" s="2">
        <v>140</v>
      </c>
      <c r="F420" s="3" t="str">
        <f>PROPER(Table13[[#This Row],[Product Name(RAW)]])</f>
        <v xml:space="preserve">Bell Witch Jiva </v>
      </c>
      <c r="G420" s="3" t="str">
        <f>TEXT(Table13[[#This Row],[Date]],"dddd")</f>
        <v>Tuesday</v>
      </c>
      <c r="H420" s="3" t="str">
        <f t="shared" si="13"/>
        <v>Week 4</v>
      </c>
      <c r="I420" s="3" t="str">
        <f t="shared" si="14"/>
        <v>22-28</v>
      </c>
    </row>
    <row r="421" spans="1:9" ht="18.75" x14ac:dyDescent="0.3">
      <c r="A421" s="1">
        <v>46196</v>
      </c>
      <c r="B421" s="2" t="s">
        <v>213</v>
      </c>
      <c r="C421" s="2">
        <v>1</v>
      </c>
      <c r="D421" s="2">
        <v>350</v>
      </c>
      <c r="E421" s="2">
        <v>350</v>
      </c>
      <c r="F421" s="3" t="str">
        <f>PROPER(Table13[[#This Row],[Product Name(RAW)]])</f>
        <v xml:space="preserve">40W Tub Lighjt </v>
      </c>
      <c r="G421" s="3" t="str">
        <f>TEXT(Table13[[#This Row],[Date]],"dddd")</f>
        <v>Tuesday</v>
      </c>
      <c r="H421" s="3" t="str">
        <f t="shared" si="13"/>
        <v>Week 4</v>
      </c>
      <c r="I421" s="3" t="str">
        <f t="shared" si="14"/>
        <v>22-28</v>
      </c>
    </row>
    <row r="422" spans="1:9" ht="18.75" x14ac:dyDescent="0.3">
      <c r="A422" s="1">
        <v>46196</v>
      </c>
      <c r="B422" s="2" t="s">
        <v>214</v>
      </c>
      <c r="C422" s="2">
        <v>2</v>
      </c>
      <c r="D422" s="2">
        <v>380</v>
      </c>
      <c r="E422" s="2">
        <f>C422*D422</f>
        <v>760</v>
      </c>
      <c r="F422" s="3" t="str">
        <f>PROPER(Table13[[#This Row],[Product Name(RAW)]])</f>
        <v>15W 3 In 1 Sarface</v>
      </c>
      <c r="G422" s="3" t="str">
        <f>TEXT(Table13[[#This Row],[Date]],"dddd")</f>
        <v>Tuesday</v>
      </c>
      <c r="H422" s="3" t="str">
        <f t="shared" si="13"/>
        <v>Week 4</v>
      </c>
      <c r="I422" s="3" t="str">
        <f t="shared" si="14"/>
        <v>22-28</v>
      </c>
    </row>
    <row r="423" spans="1:9" ht="18.75" x14ac:dyDescent="0.3">
      <c r="A423" s="1">
        <v>46196</v>
      </c>
      <c r="B423" s="2" t="s">
        <v>167</v>
      </c>
      <c r="C423" s="2">
        <v>8</v>
      </c>
      <c r="D423" s="2">
        <v>120</v>
      </c>
      <c r="E423" s="2">
        <f>C423*D423</f>
        <v>960</v>
      </c>
      <c r="F423" s="3" t="str">
        <f>PROPER(Table13[[#This Row],[Product Name(RAW)]])</f>
        <v xml:space="preserve">3W Cob </v>
      </c>
      <c r="G423" s="3" t="str">
        <f>TEXT(Table13[[#This Row],[Date]],"dddd")</f>
        <v>Tuesday</v>
      </c>
      <c r="H423" s="3" t="str">
        <f t="shared" si="13"/>
        <v>Week 4</v>
      </c>
      <c r="I423" s="3" t="str">
        <f t="shared" si="14"/>
        <v>22-28</v>
      </c>
    </row>
    <row r="424" spans="1:9" ht="18.75" x14ac:dyDescent="0.3">
      <c r="A424" s="1">
        <v>46196</v>
      </c>
      <c r="B424" s="2" t="s">
        <v>215</v>
      </c>
      <c r="C424" s="2">
        <v>1</v>
      </c>
      <c r="D424" s="2">
        <v>280</v>
      </c>
      <c r="E424" s="2">
        <v>280</v>
      </c>
      <c r="F424" s="3" t="str">
        <f>PROPER(Table13[[#This Row],[Product Name(RAW)]])</f>
        <v xml:space="preserve">14W Pvc Sarface </v>
      </c>
      <c r="G424" s="3" t="str">
        <f>TEXT(Table13[[#This Row],[Date]],"dddd")</f>
        <v>Tuesday</v>
      </c>
      <c r="H424" s="3" t="str">
        <f t="shared" si="13"/>
        <v>Week 4</v>
      </c>
      <c r="I424" s="3" t="str">
        <f t="shared" si="14"/>
        <v>22-28</v>
      </c>
    </row>
    <row r="425" spans="1:9" ht="18.75" x14ac:dyDescent="0.3">
      <c r="A425" s="1">
        <v>46196</v>
      </c>
      <c r="B425" s="2" t="s">
        <v>216</v>
      </c>
      <c r="C425" s="2">
        <v>1</v>
      </c>
      <c r="D425" s="2">
        <v>120</v>
      </c>
      <c r="E425" s="2">
        <v>120</v>
      </c>
      <c r="F425" s="3" t="str">
        <f>PROPER(Table13[[#This Row],[Product Name(RAW)]])</f>
        <v>22W Tub Light</v>
      </c>
      <c r="G425" s="3" t="str">
        <f>TEXT(Table13[[#This Row],[Date]],"dddd")</f>
        <v>Tuesday</v>
      </c>
      <c r="H425" s="3" t="str">
        <f t="shared" si="13"/>
        <v>Week 4</v>
      </c>
      <c r="I425" s="3" t="str">
        <f t="shared" si="14"/>
        <v>22-28</v>
      </c>
    </row>
    <row r="426" spans="1:9" ht="18.75" x14ac:dyDescent="0.3">
      <c r="A426" s="1">
        <v>46196</v>
      </c>
      <c r="B426" s="2" t="s">
        <v>217</v>
      </c>
      <c r="C426" s="2">
        <v>1</v>
      </c>
      <c r="D426" s="2">
        <v>300</v>
      </c>
      <c r="E426" s="2">
        <v>300</v>
      </c>
      <c r="F426" s="3" t="str">
        <f>PROPER(Table13[[#This Row],[Product Name(RAW)]])</f>
        <v xml:space="preserve">36W Ecolink Light </v>
      </c>
      <c r="G426" s="3" t="str">
        <f>TEXT(Table13[[#This Row],[Date]],"dddd")</f>
        <v>Tuesday</v>
      </c>
      <c r="H426" s="3" t="str">
        <f t="shared" si="13"/>
        <v>Week 4</v>
      </c>
      <c r="I426" s="3" t="str">
        <f t="shared" si="14"/>
        <v>22-28</v>
      </c>
    </row>
    <row r="427" spans="1:9" ht="18.75" x14ac:dyDescent="0.3">
      <c r="A427" s="1">
        <v>46196</v>
      </c>
      <c r="B427" s="2" t="s">
        <v>98</v>
      </c>
      <c r="C427" s="2">
        <v>1</v>
      </c>
      <c r="D427" s="2">
        <v>30</v>
      </c>
      <c r="E427" s="2">
        <f>C427*D427</f>
        <v>30</v>
      </c>
      <c r="F427" s="3" t="str">
        <f>PROPER(Table13[[#This Row],[Product Name(RAW)]])</f>
        <v xml:space="preserve">Male Female </v>
      </c>
      <c r="G427" s="3" t="str">
        <f>TEXT(Table13[[#This Row],[Date]],"dddd")</f>
        <v>Tuesday</v>
      </c>
      <c r="H427" s="3" t="str">
        <f t="shared" si="13"/>
        <v>Week 4</v>
      </c>
      <c r="I427" s="3" t="str">
        <f t="shared" si="14"/>
        <v>22-28</v>
      </c>
    </row>
    <row r="428" spans="1:9" ht="18.75" x14ac:dyDescent="0.3">
      <c r="A428" s="1">
        <v>46196</v>
      </c>
      <c r="B428" s="2" t="s">
        <v>218</v>
      </c>
      <c r="C428" s="2">
        <v>1</v>
      </c>
      <c r="D428" s="2">
        <v>90</v>
      </c>
      <c r="E428" s="2">
        <v>90</v>
      </c>
      <c r="F428" s="3" t="str">
        <f>PROPER(Table13[[#This Row],[Product Name(RAW)]])</f>
        <v xml:space="preserve">12M Pancham </v>
      </c>
      <c r="G428" s="3" t="str">
        <f>TEXT(Table13[[#This Row],[Date]],"dddd")</f>
        <v>Tuesday</v>
      </c>
      <c r="H428" s="3" t="str">
        <f t="shared" si="13"/>
        <v>Week 4</v>
      </c>
      <c r="I428" s="3" t="str">
        <f t="shared" si="14"/>
        <v>22-28</v>
      </c>
    </row>
    <row r="429" spans="1:9" ht="18.75" x14ac:dyDescent="0.3">
      <c r="A429" s="1">
        <v>46196</v>
      </c>
      <c r="B429" s="2" t="s">
        <v>269</v>
      </c>
      <c r="C429" s="2">
        <v>6</v>
      </c>
      <c r="D429" s="2">
        <v>15</v>
      </c>
      <c r="E429" s="2">
        <v>90</v>
      </c>
      <c r="F429" s="3" t="str">
        <f>PROPER(Table13[[#This Row],[Product Name(RAW)]])</f>
        <v xml:space="preserve">6A Switch </v>
      </c>
      <c r="G429" s="3" t="str">
        <f>TEXT(Table13[[#This Row],[Date]],"dddd")</f>
        <v>Tuesday</v>
      </c>
      <c r="H429" s="3" t="str">
        <f t="shared" si="13"/>
        <v>Week 4</v>
      </c>
      <c r="I429" s="3" t="str">
        <f t="shared" si="14"/>
        <v>22-28</v>
      </c>
    </row>
    <row r="430" spans="1:9" ht="18.75" x14ac:dyDescent="0.3">
      <c r="A430" s="1">
        <v>46196</v>
      </c>
      <c r="B430" s="2" t="s">
        <v>92</v>
      </c>
      <c r="C430" s="2">
        <v>3</v>
      </c>
      <c r="D430" s="2">
        <v>35</v>
      </c>
      <c r="E430" s="2">
        <f>C430*D430</f>
        <v>105</v>
      </c>
      <c r="F430" s="3" t="str">
        <f>PROPER(Table13[[#This Row],[Product Name(RAW)]])</f>
        <v xml:space="preserve">6A Plug </v>
      </c>
      <c r="G430" s="3" t="str">
        <f>TEXT(Table13[[#This Row],[Date]],"dddd")</f>
        <v>Tuesday</v>
      </c>
      <c r="H430" s="3" t="str">
        <f t="shared" si="13"/>
        <v>Week 4</v>
      </c>
      <c r="I430" s="3" t="str">
        <f t="shared" si="14"/>
        <v>22-28</v>
      </c>
    </row>
    <row r="431" spans="1:9" ht="18.75" x14ac:dyDescent="0.3">
      <c r="A431" s="1">
        <v>46196</v>
      </c>
      <c r="B431" s="2" t="s">
        <v>219</v>
      </c>
      <c r="C431" s="2">
        <v>1</v>
      </c>
      <c r="D431" s="2">
        <v>100</v>
      </c>
      <c r="E431" s="2">
        <f>C431*D431</f>
        <v>100</v>
      </c>
      <c r="F431" s="3" t="str">
        <f>PROPER(Table13[[#This Row],[Product Name(RAW)]])</f>
        <v>12W Light</v>
      </c>
      <c r="G431" s="3" t="str">
        <f>TEXT(Table13[[#This Row],[Date]],"dddd")</f>
        <v>Tuesday</v>
      </c>
      <c r="H431" s="3" t="str">
        <f t="shared" si="13"/>
        <v>Week 4</v>
      </c>
      <c r="I431" s="3" t="str">
        <f t="shared" si="14"/>
        <v>22-28</v>
      </c>
    </row>
    <row r="432" spans="1:9" ht="18.75" x14ac:dyDescent="0.3">
      <c r="A432" s="1">
        <v>46196</v>
      </c>
      <c r="B432" s="2" t="s">
        <v>96</v>
      </c>
      <c r="C432" s="2">
        <v>2</v>
      </c>
      <c r="D432" s="2">
        <v>18</v>
      </c>
      <c r="E432" s="2">
        <v>36</v>
      </c>
      <c r="F432" s="3" t="str">
        <f>PROPER(Table13[[#This Row],[Product Name(RAW)]])</f>
        <v xml:space="preserve">1Mm Rr </v>
      </c>
      <c r="G432" s="3" t="str">
        <f>TEXT(Table13[[#This Row],[Date]],"dddd")</f>
        <v>Tuesday</v>
      </c>
      <c r="H432" s="3" t="str">
        <f t="shared" si="13"/>
        <v>Week 4</v>
      </c>
      <c r="I432" s="3" t="str">
        <f t="shared" si="14"/>
        <v>22-28</v>
      </c>
    </row>
    <row r="433" spans="1:9" ht="18.75" x14ac:dyDescent="0.3">
      <c r="A433" s="1">
        <v>46196</v>
      </c>
      <c r="B433" s="2" t="s">
        <v>177</v>
      </c>
      <c r="C433" s="2">
        <v>2</v>
      </c>
      <c r="D433" s="2">
        <v>60</v>
      </c>
      <c r="E433" s="2">
        <f>C433*D433</f>
        <v>120</v>
      </c>
      <c r="F433" s="3" t="str">
        <f>PROPER(Table13[[#This Row],[Product Name(RAW)]])</f>
        <v xml:space="preserve">4M Plate Jiva </v>
      </c>
      <c r="G433" s="3" t="str">
        <f>TEXT(Table13[[#This Row],[Date]],"dddd")</f>
        <v>Tuesday</v>
      </c>
      <c r="H433" s="3" t="str">
        <f t="shared" si="13"/>
        <v>Week 4</v>
      </c>
      <c r="I433" s="3" t="str">
        <f t="shared" si="14"/>
        <v>22-28</v>
      </c>
    </row>
    <row r="434" spans="1:9" ht="18.75" x14ac:dyDescent="0.3">
      <c r="A434" s="1">
        <v>46196</v>
      </c>
      <c r="B434" s="2" t="s">
        <v>299</v>
      </c>
      <c r="C434" s="2">
        <v>5</v>
      </c>
      <c r="D434" s="2">
        <v>10</v>
      </c>
      <c r="E434" s="2">
        <f>C434*D434</f>
        <v>50</v>
      </c>
      <c r="F434" s="3" t="str">
        <f>PROPER(Table13[[#This Row],[Product Name(RAW)]])</f>
        <v xml:space="preserve"> Plate </v>
      </c>
      <c r="G434" s="3" t="str">
        <f>TEXT(Table13[[#This Row],[Date]],"dddd")</f>
        <v>Tuesday</v>
      </c>
      <c r="H434" s="3" t="str">
        <f t="shared" si="13"/>
        <v>Week 4</v>
      </c>
      <c r="I434" s="3" t="str">
        <f t="shared" si="14"/>
        <v>22-28</v>
      </c>
    </row>
    <row r="435" spans="1:9" ht="18.75" x14ac:dyDescent="0.3">
      <c r="A435" s="1">
        <v>46196</v>
      </c>
      <c r="B435" s="2" t="s">
        <v>55</v>
      </c>
      <c r="C435" s="2">
        <v>1</v>
      </c>
      <c r="D435" s="2">
        <v>100</v>
      </c>
      <c r="E435" s="2">
        <f>C435*D435</f>
        <v>100</v>
      </c>
      <c r="F435" s="3" t="str">
        <f>PROPER(Table13[[#This Row],[Product Name(RAW)]])</f>
        <v xml:space="preserve">3W Junction Light </v>
      </c>
      <c r="G435" s="3" t="str">
        <f>TEXT(Table13[[#This Row],[Date]],"dddd")</f>
        <v>Tuesday</v>
      </c>
      <c r="H435" s="3" t="str">
        <f t="shared" si="13"/>
        <v>Week 4</v>
      </c>
      <c r="I435" s="3" t="str">
        <f t="shared" si="14"/>
        <v>22-28</v>
      </c>
    </row>
    <row r="436" spans="1:9" ht="18.75" x14ac:dyDescent="0.3">
      <c r="A436" s="1">
        <v>46196</v>
      </c>
      <c r="B436" s="2" t="s">
        <v>72</v>
      </c>
      <c r="C436" s="2">
        <v>1</v>
      </c>
      <c r="D436" s="2">
        <v>120</v>
      </c>
      <c r="E436" s="2">
        <v>120</v>
      </c>
      <c r="F436" s="3" t="str">
        <f>PROPER(Table13[[#This Row],[Product Name(RAW)]])</f>
        <v xml:space="preserve">20W Tub Light </v>
      </c>
      <c r="G436" s="3" t="str">
        <f>TEXT(Table13[[#This Row],[Date]],"dddd")</f>
        <v>Tuesday</v>
      </c>
      <c r="H436" s="3" t="str">
        <f t="shared" si="13"/>
        <v>Week 4</v>
      </c>
      <c r="I436" s="3" t="str">
        <f t="shared" si="14"/>
        <v>22-28</v>
      </c>
    </row>
    <row r="437" spans="1:9" ht="18.75" x14ac:dyDescent="0.3">
      <c r="A437" s="1">
        <v>46196</v>
      </c>
      <c r="B437" s="2" t="s">
        <v>111</v>
      </c>
      <c r="C437" s="2">
        <v>1</v>
      </c>
      <c r="D437" s="2">
        <v>30</v>
      </c>
      <c r="E437" s="2">
        <f t="shared" ref="E437:E445" si="16">C437*D437</f>
        <v>30</v>
      </c>
      <c r="F437" s="3" t="str">
        <f>PROPER(Table13[[#This Row],[Product Name(RAW)]])</f>
        <v xml:space="preserve">Nita Coil </v>
      </c>
      <c r="G437" s="3" t="str">
        <f>TEXT(Table13[[#This Row],[Date]],"dddd")</f>
        <v>Tuesday</v>
      </c>
      <c r="H437" s="3" t="str">
        <f t="shared" si="13"/>
        <v>Week 4</v>
      </c>
      <c r="I437" s="3" t="str">
        <f t="shared" si="14"/>
        <v>22-28</v>
      </c>
    </row>
    <row r="438" spans="1:9" ht="18.75" x14ac:dyDescent="0.3">
      <c r="A438" s="1">
        <v>46196</v>
      </c>
      <c r="B438" s="2" t="s">
        <v>92</v>
      </c>
      <c r="C438" s="2">
        <v>1</v>
      </c>
      <c r="D438" s="2">
        <v>40</v>
      </c>
      <c r="E438" s="2">
        <f t="shared" si="16"/>
        <v>40</v>
      </c>
      <c r="F438" s="3" t="str">
        <f>PROPER(Table13[[#This Row],[Product Name(RAW)]])</f>
        <v xml:space="preserve">6A Plug </v>
      </c>
      <c r="G438" s="3" t="str">
        <f>TEXT(Table13[[#This Row],[Date]],"dddd")</f>
        <v>Tuesday</v>
      </c>
      <c r="H438" s="3" t="str">
        <f t="shared" si="13"/>
        <v>Week 4</v>
      </c>
      <c r="I438" s="3" t="str">
        <f t="shared" si="14"/>
        <v>22-28</v>
      </c>
    </row>
    <row r="439" spans="1:9" ht="18.75" x14ac:dyDescent="0.3">
      <c r="A439" s="1">
        <v>46197</v>
      </c>
      <c r="B439" s="2" t="s">
        <v>40</v>
      </c>
      <c r="C439" s="2">
        <v>1</v>
      </c>
      <c r="D439" s="2">
        <v>210</v>
      </c>
      <c r="E439" s="2">
        <f t="shared" si="16"/>
        <v>210</v>
      </c>
      <c r="F439" s="3" t="str">
        <f>PROPER(Table13[[#This Row],[Product Name(RAW)]])</f>
        <v xml:space="preserve">Cona Power Box </v>
      </c>
      <c r="G439" s="3" t="str">
        <f>TEXT(Table13[[#This Row],[Date]],"dddd")</f>
        <v>Wednesday</v>
      </c>
      <c r="H439" s="3" t="str">
        <f t="shared" si="13"/>
        <v>Week 4</v>
      </c>
      <c r="I439" s="3" t="str">
        <f t="shared" si="14"/>
        <v>22-28</v>
      </c>
    </row>
    <row r="440" spans="1:9" ht="18.75" x14ac:dyDescent="0.3">
      <c r="A440" s="1">
        <v>46197</v>
      </c>
      <c r="B440" s="2" t="s">
        <v>220</v>
      </c>
      <c r="C440" s="2">
        <v>2</v>
      </c>
      <c r="D440" s="2">
        <v>60</v>
      </c>
      <c r="E440" s="2">
        <f t="shared" si="16"/>
        <v>120</v>
      </c>
      <c r="F440" s="3" t="str">
        <f>PROPER(Table13[[#This Row],[Product Name(RAW)]])</f>
        <v xml:space="preserve">15'' Fan Pipe </v>
      </c>
      <c r="G440" s="3" t="str">
        <f>TEXT(Table13[[#This Row],[Date]],"dddd")</f>
        <v>Wednesday</v>
      </c>
      <c r="H440" s="3" t="str">
        <f t="shared" si="13"/>
        <v>Week 4</v>
      </c>
      <c r="I440" s="3" t="str">
        <f t="shared" si="14"/>
        <v>22-28</v>
      </c>
    </row>
    <row r="441" spans="1:9" ht="18.75" x14ac:dyDescent="0.3">
      <c r="A441" s="1">
        <v>46197</v>
      </c>
      <c r="B441" s="2" t="s">
        <v>221</v>
      </c>
      <c r="C441" s="2">
        <v>2</v>
      </c>
      <c r="D441" s="2">
        <v>30</v>
      </c>
      <c r="E441" s="2">
        <f t="shared" si="16"/>
        <v>60</v>
      </c>
      <c r="F441" s="3" t="str">
        <f>PROPER(Table13[[#This Row],[Product Name(RAW)]])</f>
        <v xml:space="preserve">V Clam </v>
      </c>
      <c r="G441" s="3" t="str">
        <f>TEXT(Table13[[#This Row],[Date]],"dddd")</f>
        <v>Wednesday</v>
      </c>
      <c r="H441" s="3" t="str">
        <f t="shared" si="13"/>
        <v>Week 4</v>
      </c>
      <c r="I441" s="3" t="str">
        <f t="shared" si="14"/>
        <v>22-28</v>
      </c>
    </row>
    <row r="442" spans="1:9" ht="18.75" x14ac:dyDescent="0.3">
      <c r="A442" s="1">
        <v>46197</v>
      </c>
      <c r="B442" s="2" t="s">
        <v>218</v>
      </c>
      <c r="C442" s="2">
        <v>1</v>
      </c>
      <c r="D442" s="2">
        <v>100</v>
      </c>
      <c r="E442" s="2">
        <f t="shared" si="16"/>
        <v>100</v>
      </c>
      <c r="F442" s="3" t="str">
        <f>PROPER(Table13[[#This Row],[Product Name(RAW)]])</f>
        <v xml:space="preserve">12M Pancham </v>
      </c>
      <c r="G442" s="3" t="str">
        <f>TEXT(Table13[[#This Row],[Date]],"dddd")</f>
        <v>Wednesday</v>
      </c>
      <c r="H442" s="3" t="str">
        <f t="shared" si="13"/>
        <v>Week 4</v>
      </c>
      <c r="I442" s="3" t="str">
        <f t="shared" si="14"/>
        <v>22-28</v>
      </c>
    </row>
    <row r="443" spans="1:9" ht="18.75" x14ac:dyDescent="0.3">
      <c r="A443" s="1">
        <v>46197</v>
      </c>
      <c r="B443" s="2" t="s">
        <v>269</v>
      </c>
      <c r="C443" s="2">
        <v>8</v>
      </c>
      <c r="D443" s="2">
        <v>15</v>
      </c>
      <c r="E443" s="2">
        <f t="shared" si="16"/>
        <v>120</v>
      </c>
      <c r="F443" s="3" t="str">
        <f>PROPER(Table13[[#This Row],[Product Name(RAW)]])</f>
        <v xml:space="preserve">6A Switch </v>
      </c>
      <c r="G443" s="3" t="str">
        <f>TEXT(Table13[[#This Row],[Date]],"dddd")</f>
        <v>Wednesday</v>
      </c>
      <c r="H443" s="3" t="str">
        <f t="shared" si="13"/>
        <v>Week 4</v>
      </c>
      <c r="I443" s="3" t="str">
        <f t="shared" si="14"/>
        <v>22-28</v>
      </c>
    </row>
    <row r="444" spans="1:9" ht="18.75" x14ac:dyDescent="0.3">
      <c r="A444" s="1">
        <v>46197</v>
      </c>
      <c r="B444" s="2" t="s">
        <v>92</v>
      </c>
      <c r="C444" s="2">
        <v>2</v>
      </c>
      <c r="D444" s="2">
        <v>35</v>
      </c>
      <c r="E444" s="2">
        <f t="shared" si="16"/>
        <v>70</v>
      </c>
      <c r="F444" s="3" t="str">
        <f>PROPER(Table13[[#This Row],[Product Name(RAW)]])</f>
        <v xml:space="preserve">6A Plug </v>
      </c>
      <c r="G444" s="3" t="str">
        <f>TEXT(Table13[[#This Row],[Date]],"dddd")</f>
        <v>Wednesday</v>
      </c>
      <c r="H444" s="3" t="str">
        <f t="shared" si="13"/>
        <v>Week 4</v>
      </c>
      <c r="I444" s="3" t="str">
        <f t="shared" si="14"/>
        <v>22-28</v>
      </c>
    </row>
    <row r="445" spans="1:9" ht="18.75" x14ac:dyDescent="0.3">
      <c r="A445" s="1">
        <v>46197</v>
      </c>
      <c r="B445" s="2" t="s">
        <v>220</v>
      </c>
      <c r="C445" s="2">
        <v>1</v>
      </c>
      <c r="D445" s="2">
        <v>60</v>
      </c>
      <c r="E445" s="2">
        <f t="shared" si="16"/>
        <v>60</v>
      </c>
      <c r="F445" s="3" t="str">
        <f>PROPER(Table13[[#This Row],[Product Name(RAW)]])</f>
        <v xml:space="preserve">15'' Fan Pipe </v>
      </c>
      <c r="G445" s="3" t="str">
        <f>TEXT(Table13[[#This Row],[Date]],"dddd")</f>
        <v>Wednesday</v>
      </c>
      <c r="H445" s="3" t="str">
        <f t="shared" si="13"/>
        <v>Week 4</v>
      </c>
      <c r="I445" s="3" t="str">
        <f t="shared" si="14"/>
        <v>22-28</v>
      </c>
    </row>
    <row r="446" spans="1:9" ht="18.75" x14ac:dyDescent="0.3">
      <c r="A446" s="1">
        <v>46197</v>
      </c>
      <c r="B446" s="2" t="s">
        <v>163</v>
      </c>
      <c r="C446" s="2">
        <v>1</v>
      </c>
      <c r="D446" s="2">
        <v>200</v>
      </c>
      <c r="E446" s="2">
        <v>200</v>
      </c>
      <c r="F446" s="3" t="str">
        <f>PROPER(Table13[[#This Row],[Product Name(RAW)]])</f>
        <v xml:space="preserve">Extention Bord </v>
      </c>
      <c r="G446" s="3" t="str">
        <f>TEXT(Table13[[#This Row],[Date]],"dddd")</f>
        <v>Wednesday</v>
      </c>
      <c r="H446" s="3" t="str">
        <f t="shared" si="13"/>
        <v>Week 4</v>
      </c>
      <c r="I446" s="3" t="str">
        <f t="shared" si="14"/>
        <v>22-28</v>
      </c>
    </row>
    <row r="447" spans="1:9" ht="18.75" x14ac:dyDescent="0.3">
      <c r="A447" s="1">
        <v>46197</v>
      </c>
      <c r="B447" s="2" t="s">
        <v>222</v>
      </c>
      <c r="C447" s="2">
        <v>1</v>
      </c>
      <c r="D447" s="2">
        <v>280</v>
      </c>
      <c r="E447" s="2">
        <f>C447*D447</f>
        <v>280</v>
      </c>
      <c r="F447" s="3" t="str">
        <f>PROPER(Table13[[#This Row],[Product Name(RAW)]])</f>
        <v>9W Charging Light Ecolink</v>
      </c>
      <c r="G447" s="3" t="str">
        <f>TEXT(Table13[[#This Row],[Date]],"dddd")</f>
        <v>Wednesday</v>
      </c>
      <c r="H447" s="3" t="str">
        <f t="shared" si="13"/>
        <v>Week 4</v>
      </c>
      <c r="I447" s="3" t="str">
        <f t="shared" si="14"/>
        <v>22-28</v>
      </c>
    </row>
    <row r="448" spans="1:9" ht="18.75" x14ac:dyDescent="0.3">
      <c r="A448" s="1">
        <v>46197</v>
      </c>
      <c r="B448" s="2" t="s">
        <v>223</v>
      </c>
      <c r="C448" s="2">
        <v>1</v>
      </c>
      <c r="D448" s="2">
        <v>320</v>
      </c>
      <c r="E448" s="2">
        <f>C448*D448</f>
        <v>320</v>
      </c>
      <c r="F448" s="3" t="str">
        <f>PROPER(Table13[[#This Row],[Product Name(RAW)]])</f>
        <v xml:space="preserve">14W Charging Light Ecolink </v>
      </c>
      <c r="G448" s="3" t="str">
        <f>TEXT(Table13[[#This Row],[Date]],"dddd")</f>
        <v>Wednesday</v>
      </c>
      <c r="H448" s="3" t="str">
        <f t="shared" si="13"/>
        <v>Week 4</v>
      </c>
      <c r="I448" s="3" t="str">
        <f t="shared" si="14"/>
        <v>22-28</v>
      </c>
    </row>
    <row r="449" spans="1:9" ht="18.75" x14ac:dyDescent="0.3">
      <c r="A449" s="1">
        <v>46197</v>
      </c>
      <c r="B449" s="2" t="s">
        <v>224</v>
      </c>
      <c r="C449" s="2">
        <v>1</v>
      </c>
      <c r="D449" s="2">
        <v>260</v>
      </c>
      <c r="E449" s="2">
        <v>260</v>
      </c>
      <c r="F449" s="3" t="str">
        <f>PROPER(Table13[[#This Row],[Product Name(RAW)]])</f>
        <v>9W Charging Light Halonex</v>
      </c>
      <c r="G449" s="3" t="str">
        <f>TEXT(Table13[[#This Row],[Date]],"dddd")</f>
        <v>Wednesday</v>
      </c>
      <c r="H449" s="3" t="str">
        <f t="shared" si="13"/>
        <v>Week 4</v>
      </c>
      <c r="I449" s="3" t="str">
        <f t="shared" si="14"/>
        <v>22-28</v>
      </c>
    </row>
    <row r="450" spans="1:9" ht="18.75" x14ac:dyDescent="0.3">
      <c r="A450" s="1">
        <v>46197</v>
      </c>
      <c r="B450" s="2" t="s">
        <v>225</v>
      </c>
      <c r="C450" s="2">
        <v>2</v>
      </c>
      <c r="D450" s="2">
        <v>230</v>
      </c>
      <c r="E450" s="2">
        <f t="shared" ref="E450:E464" si="17">C450*D450</f>
        <v>460</v>
      </c>
      <c r="F450" s="3" t="str">
        <f>PROPER(Table13[[#This Row],[Product Name(RAW)]])</f>
        <v>Shegadi</v>
      </c>
      <c r="G450" s="3" t="str">
        <f>TEXT(Table13[[#This Row],[Date]],"dddd")</f>
        <v>Wednesday</v>
      </c>
      <c r="H450" s="3" t="str">
        <f t="shared" ref="H450:H513" si="18">"Week "&amp;ROUNDUP(DAY(A450)/7,0)</f>
        <v>Week 4</v>
      </c>
      <c r="I450" s="3" t="str">
        <f t="shared" ref="I450:I513" si="19">IF(DAY(A450)&lt;=7,"01-07",
IF(DAY(A450)&lt;=14,"08-14",
IF(DAY(A450)&lt;=21,"15-21",
IF(DAY(A450)&lt;=28,"22-28","29-30"))))</f>
        <v>22-28</v>
      </c>
    </row>
    <row r="451" spans="1:9" ht="18.75" x14ac:dyDescent="0.3">
      <c r="A451" s="1">
        <v>46197</v>
      </c>
      <c r="B451" s="2" t="s">
        <v>19</v>
      </c>
      <c r="C451" s="2">
        <v>2</v>
      </c>
      <c r="D451" s="2">
        <v>120</v>
      </c>
      <c r="E451" s="2">
        <f t="shared" si="17"/>
        <v>240</v>
      </c>
      <c r="F451" s="3" t="str">
        <f>PROPER(Table13[[#This Row],[Product Name(RAW)]])</f>
        <v xml:space="preserve">Cona Dp Switch </v>
      </c>
      <c r="G451" s="3" t="str">
        <f>TEXT(Table13[[#This Row],[Date]],"dddd")</f>
        <v>Wednesday</v>
      </c>
      <c r="H451" s="3" t="str">
        <f t="shared" si="18"/>
        <v>Week 4</v>
      </c>
      <c r="I451" s="3" t="str">
        <f t="shared" si="19"/>
        <v>22-28</v>
      </c>
    </row>
    <row r="452" spans="1:9" ht="18.75" x14ac:dyDescent="0.3">
      <c r="A452" s="1">
        <v>46197</v>
      </c>
      <c r="B452" s="2" t="s">
        <v>226</v>
      </c>
      <c r="C452" s="2">
        <v>9</v>
      </c>
      <c r="D452" s="2">
        <v>15</v>
      </c>
      <c r="E452" s="2">
        <f t="shared" si="17"/>
        <v>135</v>
      </c>
      <c r="F452" s="3" t="str">
        <f>PROPER(Table13[[#This Row],[Product Name(RAW)]])</f>
        <v xml:space="preserve">4Mm Ss Wire </v>
      </c>
      <c r="G452" s="3" t="str">
        <f>TEXT(Table13[[#This Row],[Date]],"dddd")</f>
        <v>Wednesday</v>
      </c>
      <c r="H452" s="3" t="str">
        <f t="shared" si="18"/>
        <v>Week 4</v>
      </c>
      <c r="I452" s="3" t="str">
        <f t="shared" si="19"/>
        <v>22-28</v>
      </c>
    </row>
    <row r="453" spans="1:9" ht="18.75" x14ac:dyDescent="0.3">
      <c r="A453" s="1">
        <v>46198</v>
      </c>
      <c r="B453" s="2" t="s">
        <v>111</v>
      </c>
      <c r="C453" s="2">
        <v>2</v>
      </c>
      <c r="D453" s="2">
        <v>30</v>
      </c>
      <c r="E453" s="2">
        <f t="shared" si="17"/>
        <v>60</v>
      </c>
      <c r="F453" s="3" t="str">
        <f>PROPER(Table13[[#This Row],[Product Name(RAW)]])</f>
        <v xml:space="preserve">Nita Coil </v>
      </c>
      <c r="G453" s="3" t="str">
        <f>TEXT(Table13[[#This Row],[Date]],"dddd")</f>
        <v>Thursday</v>
      </c>
      <c r="H453" s="3" t="str">
        <f t="shared" si="18"/>
        <v>Week 4</v>
      </c>
      <c r="I453" s="3" t="str">
        <f t="shared" si="19"/>
        <v>22-28</v>
      </c>
    </row>
    <row r="454" spans="1:9" ht="18.75" x14ac:dyDescent="0.3">
      <c r="A454" s="1">
        <v>46198</v>
      </c>
      <c r="B454" s="2" t="s">
        <v>227</v>
      </c>
      <c r="C454" s="2">
        <v>1</v>
      </c>
      <c r="D454" s="2">
        <v>90</v>
      </c>
      <c r="E454" s="2">
        <f t="shared" si="17"/>
        <v>90</v>
      </c>
      <c r="F454" s="3" t="str">
        <f>PROPER(Table13[[#This Row],[Product Name(RAW)]])</f>
        <v>12M Pancha</v>
      </c>
      <c r="G454" s="3" t="str">
        <f>TEXT(Table13[[#This Row],[Date]],"dddd")</f>
        <v>Thursday</v>
      </c>
      <c r="H454" s="3" t="str">
        <f t="shared" si="18"/>
        <v>Week 4</v>
      </c>
      <c r="I454" s="3" t="str">
        <f t="shared" si="19"/>
        <v>22-28</v>
      </c>
    </row>
    <row r="455" spans="1:9" ht="18.75" x14ac:dyDescent="0.3">
      <c r="A455" s="1">
        <v>46198</v>
      </c>
      <c r="B455" s="2" t="s">
        <v>92</v>
      </c>
      <c r="C455" s="2">
        <v>3</v>
      </c>
      <c r="D455" s="2">
        <v>35</v>
      </c>
      <c r="E455" s="2">
        <f t="shared" si="17"/>
        <v>105</v>
      </c>
      <c r="F455" s="3" t="str">
        <f>PROPER(Table13[[#This Row],[Product Name(RAW)]])</f>
        <v xml:space="preserve">6A Plug </v>
      </c>
      <c r="G455" s="3" t="str">
        <f>TEXT(Table13[[#This Row],[Date]],"dddd")</f>
        <v>Thursday</v>
      </c>
      <c r="H455" s="3" t="str">
        <f t="shared" si="18"/>
        <v>Week 4</v>
      </c>
      <c r="I455" s="3" t="str">
        <f t="shared" si="19"/>
        <v>22-28</v>
      </c>
    </row>
    <row r="456" spans="1:9" ht="18.75" x14ac:dyDescent="0.3">
      <c r="A456" s="1">
        <v>46198</v>
      </c>
      <c r="B456" s="2" t="s">
        <v>269</v>
      </c>
      <c r="C456" s="2">
        <v>3</v>
      </c>
      <c r="D456" s="2">
        <v>15</v>
      </c>
      <c r="E456" s="2">
        <f t="shared" si="17"/>
        <v>45</v>
      </c>
      <c r="F456" s="3" t="str">
        <f>PROPER(Table13[[#This Row],[Product Name(RAW)]])</f>
        <v xml:space="preserve">6A Switch </v>
      </c>
      <c r="G456" s="3" t="str">
        <f>TEXT(Table13[[#This Row],[Date]],"dddd")</f>
        <v>Thursday</v>
      </c>
      <c r="H456" s="3" t="str">
        <f t="shared" si="18"/>
        <v>Week 4</v>
      </c>
      <c r="I456" s="3" t="str">
        <f t="shared" si="19"/>
        <v>22-28</v>
      </c>
    </row>
    <row r="457" spans="1:9" ht="18.75" x14ac:dyDescent="0.3">
      <c r="A457" s="1">
        <v>46198</v>
      </c>
      <c r="B457" s="2" t="s">
        <v>271</v>
      </c>
      <c r="C457" s="2">
        <v>1</v>
      </c>
      <c r="D457" s="2">
        <v>50</v>
      </c>
      <c r="E457" s="2">
        <f t="shared" si="17"/>
        <v>50</v>
      </c>
      <c r="F457" s="3" t="str">
        <f>PROPER(Table13[[#This Row],[Product Name(RAW)]])</f>
        <v xml:space="preserve">16A Switch </v>
      </c>
      <c r="G457" s="3" t="str">
        <f>TEXT(Table13[[#This Row],[Date]],"dddd")</f>
        <v>Thursday</v>
      </c>
      <c r="H457" s="3" t="str">
        <f t="shared" si="18"/>
        <v>Week 4</v>
      </c>
      <c r="I457" s="3" t="str">
        <f t="shared" si="19"/>
        <v>22-28</v>
      </c>
    </row>
    <row r="458" spans="1:9" ht="18.75" x14ac:dyDescent="0.3">
      <c r="A458" s="1">
        <v>46198</v>
      </c>
      <c r="B458" s="2" t="s">
        <v>62</v>
      </c>
      <c r="C458" s="2">
        <v>1</v>
      </c>
      <c r="D458" s="2">
        <v>80</v>
      </c>
      <c r="E458" s="2">
        <f t="shared" si="17"/>
        <v>80</v>
      </c>
      <c r="F458" s="3" t="str">
        <f>PROPER(Table13[[#This Row],[Product Name(RAW)]])</f>
        <v xml:space="preserve">16A Plug Jiva </v>
      </c>
      <c r="G458" s="3" t="str">
        <f>TEXT(Table13[[#This Row],[Date]],"dddd")</f>
        <v>Thursday</v>
      </c>
      <c r="H458" s="3" t="str">
        <f t="shared" si="18"/>
        <v>Week 4</v>
      </c>
      <c r="I458" s="3" t="str">
        <f t="shared" si="19"/>
        <v>22-28</v>
      </c>
    </row>
    <row r="459" spans="1:9" ht="18.75" x14ac:dyDescent="0.3">
      <c r="A459" s="1">
        <v>46198</v>
      </c>
      <c r="B459" s="2" t="s">
        <v>24</v>
      </c>
      <c r="C459" s="2">
        <v>1</v>
      </c>
      <c r="D459" s="2">
        <v>15</v>
      </c>
      <c r="E459" s="2">
        <f t="shared" si="17"/>
        <v>15</v>
      </c>
      <c r="F459" s="3" t="str">
        <f>PROPER(Table13[[#This Row],[Product Name(RAW)]])</f>
        <v xml:space="preserve">Sada Holder </v>
      </c>
      <c r="G459" s="3" t="str">
        <f>TEXT(Table13[[#This Row],[Date]],"dddd")</f>
        <v>Thursday</v>
      </c>
      <c r="H459" s="3" t="str">
        <f t="shared" si="18"/>
        <v>Week 4</v>
      </c>
      <c r="I459" s="3" t="str">
        <f t="shared" si="19"/>
        <v>22-28</v>
      </c>
    </row>
    <row r="460" spans="1:9" ht="18.75" x14ac:dyDescent="0.3">
      <c r="A460" s="1">
        <v>46198</v>
      </c>
      <c r="B460" s="2" t="s">
        <v>228</v>
      </c>
      <c r="C460" s="2">
        <v>1</v>
      </c>
      <c r="D460" s="2">
        <v>330</v>
      </c>
      <c r="E460" s="2">
        <f t="shared" si="17"/>
        <v>330</v>
      </c>
      <c r="F460" s="3" t="str">
        <f>PROPER(Table13[[#This Row],[Product Name(RAW)]])</f>
        <v xml:space="preserve">Light Tree Heater </v>
      </c>
      <c r="G460" s="3" t="str">
        <f>TEXT(Table13[[#This Row],[Date]],"dddd")</f>
        <v>Thursday</v>
      </c>
      <c r="H460" s="3" t="str">
        <f t="shared" si="18"/>
        <v>Week 4</v>
      </c>
      <c r="I460" s="3" t="str">
        <f t="shared" si="19"/>
        <v>22-28</v>
      </c>
    </row>
    <row r="461" spans="1:9" ht="18.75" x14ac:dyDescent="0.3">
      <c r="A461" s="1">
        <v>46199</v>
      </c>
      <c r="B461" s="2" t="s">
        <v>228</v>
      </c>
      <c r="C461" s="2">
        <v>1</v>
      </c>
      <c r="D461" s="2">
        <v>330</v>
      </c>
      <c r="E461" s="2">
        <f t="shared" si="17"/>
        <v>330</v>
      </c>
      <c r="F461" s="3" t="str">
        <f>PROPER(Table13[[#This Row],[Product Name(RAW)]])</f>
        <v xml:space="preserve">Light Tree Heater </v>
      </c>
      <c r="G461" s="3" t="str">
        <f>TEXT(Table13[[#This Row],[Date]],"dddd")</f>
        <v>Friday</v>
      </c>
      <c r="H461" s="3" t="str">
        <f t="shared" si="18"/>
        <v>Week 4</v>
      </c>
      <c r="I461" s="3" t="str">
        <f t="shared" si="19"/>
        <v>22-28</v>
      </c>
    </row>
    <row r="462" spans="1:9" ht="18.75" x14ac:dyDescent="0.3">
      <c r="A462" s="1">
        <v>46199</v>
      </c>
      <c r="B462" s="2" t="s">
        <v>229</v>
      </c>
      <c r="C462" s="2">
        <v>2</v>
      </c>
      <c r="D462" s="2">
        <v>100</v>
      </c>
      <c r="E462" s="2">
        <f t="shared" si="17"/>
        <v>200</v>
      </c>
      <c r="F462" s="3" t="str">
        <f>PROPER(Table13[[#This Row],[Product Name(RAW)]])</f>
        <v xml:space="preserve">18M Metal </v>
      </c>
      <c r="G462" s="3" t="str">
        <f>TEXT(Table13[[#This Row],[Date]],"dddd")</f>
        <v>Friday</v>
      </c>
      <c r="H462" s="3" t="str">
        <f t="shared" si="18"/>
        <v>Week 4</v>
      </c>
      <c r="I462" s="3" t="str">
        <f t="shared" si="19"/>
        <v>22-28</v>
      </c>
    </row>
    <row r="463" spans="1:9" ht="18.75" x14ac:dyDescent="0.3">
      <c r="A463" s="1">
        <v>46199</v>
      </c>
      <c r="B463" s="2" t="s">
        <v>134</v>
      </c>
      <c r="C463" s="2">
        <v>6</v>
      </c>
      <c r="D463" s="2">
        <v>90</v>
      </c>
      <c r="E463" s="2">
        <f t="shared" si="17"/>
        <v>540</v>
      </c>
      <c r="F463" s="3" t="str">
        <f>PROPER(Table13[[#This Row],[Product Name(RAW)]])</f>
        <v xml:space="preserve">12M Metal Box </v>
      </c>
      <c r="G463" s="3" t="str">
        <f>TEXT(Table13[[#This Row],[Date]],"dddd")</f>
        <v>Friday</v>
      </c>
      <c r="H463" s="3" t="str">
        <f t="shared" si="18"/>
        <v>Week 4</v>
      </c>
      <c r="I463" s="3" t="str">
        <f t="shared" si="19"/>
        <v>22-28</v>
      </c>
    </row>
    <row r="464" spans="1:9" ht="18.75" x14ac:dyDescent="0.3">
      <c r="A464" s="1">
        <v>46199</v>
      </c>
      <c r="B464" s="2" t="s">
        <v>230</v>
      </c>
      <c r="C464" s="2">
        <v>2</v>
      </c>
      <c r="D464" s="2">
        <v>70</v>
      </c>
      <c r="E464" s="2">
        <f t="shared" si="17"/>
        <v>140</v>
      </c>
      <c r="F464" s="3" t="str">
        <f>PROPER(Table13[[#This Row],[Product Name(RAW)]])</f>
        <v xml:space="preserve">8M Metal </v>
      </c>
      <c r="G464" s="3" t="str">
        <f>TEXT(Table13[[#This Row],[Date]],"dddd")</f>
        <v>Friday</v>
      </c>
      <c r="H464" s="3" t="str">
        <f t="shared" si="18"/>
        <v>Week 4</v>
      </c>
      <c r="I464" s="3" t="str">
        <f t="shared" si="19"/>
        <v>22-28</v>
      </c>
    </row>
    <row r="465" spans="1:9" ht="18.75" x14ac:dyDescent="0.3">
      <c r="A465" s="1">
        <v>46199</v>
      </c>
      <c r="B465" s="2" t="s">
        <v>136</v>
      </c>
      <c r="C465" s="2">
        <v>5</v>
      </c>
      <c r="D465" s="2">
        <v>50</v>
      </c>
      <c r="E465" s="2">
        <v>250</v>
      </c>
      <c r="F465" s="3" t="str">
        <f>PROPER(Table13[[#This Row],[Product Name(RAW)]])</f>
        <v xml:space="preserve">4M Metal Box </v>
      </c>
      <c r="G465" s="3" t="str">
        <f>TEXT(Table13[[#This Row],[Date]],"dddd")</f>
        <v>Friday</v>
      </c>
      <c r="H465" s="3" t="str">
        <f t="shared" si="18"/>
        <v>Week 4</v>
      </c>
      <c r="I465" s="3" t="str">
        <f t="shared" si="19"/>
        <v>22-28</v>
      </c>
    </row>
    <row r="466" spans="1:9" ht="18.75" x14ac:dyDescent="0.3">
      <c r="A466" s="1">
        <v>46199</v>
      </c>
      <c r="B466" s="2" t="s">
        <v>231</v>
      </c>
      <c r="C466" s="2">
        <v>6</v>
      </c>
      <c r="D466" s="2">
        <v>40</v>
      </c>
      <c r="E466" s="2">
        <f>C466*D466</f>
        <v>240</v>
      </c>
      <c r="F466" s="3" t="str">
        <f>PROPER(Table13[[#This Row],[Product Name(RAW)]])</f>
        <v xml:space="preserve">25Mm Lmc Pipe </v>
      </c>
      <c r="G466" s="3" t="str">
        <f>TEXT(Table13[[#This Row],[Date]],"dddd")</f>
        <v>Friday</v>
      </c>
      <c r="H466" s="3" t="str">
        <f t="shared" si="18"/>
        <v>Week 4</v>
      </c>
      <c r="I466" s="3" t="str">
        <f t="shared" si="19"/>
        <v>22-28</v>
      </c>
    </row>
    <row r="467" spans="1:9" ht="18.75" x14ac:dyDescent="0.3">
      <c r="A467" s="1">
        <v>46199</v>
      </c>
      <c r="B467" s="2" t="s">
        <v>137</v>
      </c>
      <c r="C467" s="2">
        <v>16</v>
      </c>
      <c r="D467" s="2">
        <v>10</v>
      </c>
      <c r="E467" s="2">
        <f>C467*D467</f>
        <v>160</v>
      </c>
      <c r="F467" s="3" t="str">
        <f>PROPER(Table13[[#This Row],[Product Name(RAW)]])</f>
        <v xml:space="preserve">25Mm Bend </v>
      </c>
      <c r="G467" s="3" t="str">
        <f>TEXT(Table13[[#This Row],[Date]],"dddd")</f>
        <v>Friday</v>
      </c>
      <c r="H467" s="3" t="str">
        <f t="shared" si="18"/>
        <v>Week 4</v>
      </c>
      <c r="I467" s="3" t="str">
        <f t="shared" si="19"/>
        <v>22-28</v>
      </c>
    </row>
    <row r="468" spans="1:9" ht="18.75" x14ac:dyDescent="0.3">
      <c r="A468" s="1">
        <v>46199</v>
      </c>
      <c r="B468" s="2" t="s">
        <v>232</v>
      </c>
      <c r="C468" s="2">
        <v>1</v>
      </c>
      <c r="D468" s="2">
        <v>280</v>
      </c>
      <c r="E468" s="2">
        <v>280</v>
      </c>
      <c r="F468" s="3" t="str">
        <f>PROPER(Table13[[#This Row],[Product Name(RAW)]])</f>
        <v>6/8 Mcb Box</v>
      </c>
      <c r="G468" s="3" t="str">
        <f>TEXT(Table13[[#This Row],[Date]],"dddd")</f>
        <v>Friday</v>
      </c>
      <c r="H468" s="3" t="str">
        <f t="shared" si="18"/>
        <v>Week 4</v>
      </c>
      <c r="I468" s="3" t="str">
        <f t="shared" si="19"/>
        <v>22-28</v>
      </c>
    </row>
    <row r="469" spans="1:9" ht="18.75" x14ac:dyDescent="0.3">
      <c r="A469" s="1">
        <v>46199</v>
      </c>
      <c r="B469" s="2" t="s">
        <v>31</v>
      </c>
      <c r="C469" s="2">
        <v>2</v>
      </c>
      <c r="D469" s="2">
        <v>10</v>
      </c>
      <c r="E469" s="2">
        <f t="shared" ref="E469:E477" si="20">C469*D469</f>
        <v>20</v>
      </c>
      <c r="F469" s="3" t="str">
        <f>PROPER(Table13[[#This Row],[Product Name(RAW)]])</f>
        <v xml:space="preserve">Tep </v>
      </c>
      <c r="G469" s="3" t="str">
        <f>TEXT(Table13[[#This Row],[Date]],"dddd")</f>
        <v>Friday</v>
      </c>
      <c r="H469" s="3" t="str">
        <f t="shared" si="18"/>
        <v>Week 4</v>
      </c>
      <c r="I469" s="3" t="str">
        <f t="shared" si="19"/>
        <v>22-28</v>
      </c>
    </row>
    <row r="470" spans="1:9" ht="18.75" x14ac:dyDescent="0.3">
      <c r="A470" s="1">
        <v>46199</v>
      </c>
      <c r="B470" s="2" t="s">
        <v>316</v>
      </c>
      <c r="C470" s="2">
        <v>33</v>
      </c>
      <c r="D470" s="2">
        <v>12</v>
      </c>
      <c r="E470" s="2">
        <f t="shared" si="20"/>
        <v>396</v>
      </c>
      <c r="F470" s="3" t="str">
        <f>PROPER(Table13[[#This Row],[Product Name(RAW)]])</f>
        <v xml:space="preserve">25Mm Junction </v>
      </c>
      <c r="G470" s="3" t="str">
        <f>TEXT(Table13[[#This Row],[Date]],"dddd")</f>
        <v>Friday</v>
      </c>
      <c r="H470" s="3" t="str">
        <f t="shared" si="18"/>
        <v>Week 4</v>
      </c>
      <c r="I470" s="3" t="str">
        <f t="shared" si="19"/>
        <v>22-28</v>
      </c>
    </row>
    <row r="471" spans="1:9" ht="18.75" x14ac:dyDescent="0.3">
      <c r="A471" s="1">
        <v>46199</v>
      </c>
      <c r="B471" s="2" t="s">
        <v>70</v>
      </c>
      <c r="C471" s="2">
        <v>2</v>
      </c>
      <c r="D471" s="2">
        <v>80</v>
      </c>
      <c r="E471" s="2">
        <f t="shared" si="20"/>
        <v>160</v>
      </c>
      <c r="F471" s="3" t="str">
        <f>PROPER(Table13[[#This Row],[Product Name(RAW)]])</f>
        <v>32A Cutout Hindusathan</v>
      </c>
      <c r="G471" s="3" t="str">
        <f>TEXT(Table13[[#This Row],[Date]],"dddd")</f>
        <v>Friday</v>
      </c>
      <c r="H471" s="3" t="str">
        <f t="shared" si="18"/>
        <v>Week 4</v>
      </c>
      <c r="I471" s="3" t="str">
        <f t="shared" si="19"/>
        <v>22-28</v>
      </c>
    </row>
    <row r="472" spans="1:9" ht="18.75" x14ac:dyDescent="0.3">
      <c r="A472" s="1">
        <v>46199</v>
      </c>
      <c r="B472" s="2" t="s">
        <v>233</v>
      </c>
      <c r="C472" s="2">
        <v>1</v>
      </c>
      <c r="D472" s="2">
        <v>60</v>
      </c>
      <c r="E472" s="2">
        <f t="shared" si="20"/>
        <v>60</v>
      </c>
      <c r="F472" s="3" t="str">
        <f>PROPER(Table13[[#This Row],[Product Name(RAW)]])</f>
        <v xml:space="preserve">Tapariya Testor </v>
      </c>
      <c r="G472" s="3" t="str">
        <f>TEXT(Table13[[#This Row],[Date]],"dddd")</f>
        <v>Friday</v>
      </c>
      <c r="H472" s="3" t="str">
        <f t="shared" si="18"/>
        <v>Week 4</v>
      </c>
      <c r="I472" s="3" t="str">
        <f t="shared" si="19"/>
        <v>22-28</v>
      </c>
    </row>
    <row r="473" spans="1:9" ht="18.75" x14ac:dyDescent="0.3">
      <c r="A473" s="1">
        <v>46199</v>
      </c>
      <c r="B473" s="2" t="s">
        <v>234</v>
      </c>
      <c r="C473" s="2">
        <v>5</v>
      </c>
      <c r="D473" s="2">
        <v>2</v>
      </c>
      <c r="E473" s="2">
        <f t="shared" si="20"/>
        <v>10</v>
      </c>
      <c r="F473" s="3" t="str">
        <f>PROPER(Table13[[#This Row],[Product Name(RAW)]])</f>
        <v xml:space="preserve">C Clip </v>
      </c>
      <c r="G473" s="3" t="str">
        <f>TEXT(Table13[[#This Row],[Date]],"dddd")</f>
        <v>Friday</v>
      </c>
      <c r="H473" s="3" t="str">
        <f t="shared" si="18"/>
        <v>Week 4</v>
      </c>
      <c r="I473" s="3" t="str">
        <f t="shared" si="19"/>
        <v>22-28</v>
      </c>
    </row>
    <row r="474" spans="1:9" ht="18.75" x14ac:dyDescent="0.3">
      <c r="A474" s="1">
        <v>46199</v>
      </c>
      <c r="B474" s="2" t="s">
        <v>35</v>
      </c>
      <c r="C474" s="2">
        <v>1</v>
      </c>
      <c r="D474" s="2">
        <v>30</v>
      </c>
      <c r="E474" s="2">
        <f t="shared" si="20"/>
        <v>30</v>
      </c>
      <c r="F474" s="3" t="str">
        <f>PROPER(Table13[[#This Row],[Product Name(RAW)]])</f>
        <v xml:space="preserve">3.15 Capacitor </v>
      </c>
      <c r="G474" s="3" t="str">
        <f>TEXT(Table13[[#This Row],[Date]],"dddd")</f>
        <v>Friday</v>
      </c>
      <c r="H474" s="3" t="str">
        <f t="shared" si="18"/>
        <v>Week 4</v>
      </c>
      <c r="I474" s="3" t="str">
        <f t="shared" si="19"/>
        <v>22-28</v>
      </c>
    </row>
    <row r="475" spans="1:9" ht="18.75" x14ac:dyDescent="0.3">
      <c r="A475" s="1">
        <v>46199</v>
      </c>
      <c r="B475" s="2" t="s">
        <v>35</v>
      </c>
      <c r="C475" s="2">
        <v>5</v>
      </c>
      <c r="D475" s="2">
        <v>30</v>
      </c>
      <c r="E475" s="2">
        <f t="shared" si="20"/>
        <v>150</v>
      </c>
      <c r="F475" s="3" t="str">
        <f>PROPER(Table13[[#This Row],[Product Name(RAW)]])</f>
        <v xml:space="preserve">3.15 Capacitor </v>
      </c>
      <c r="G475" s="3" t="str">
        <f>TEXT(Table13[[#This Row],[Date]],"dddd")</f>
        <v>Friday</v>
      </c>
      <c r="H475" s="3" t="str">
        <f t="shared" si="18"/>
        <v>Week 4</v>
      </c>
      <c r="I475" s="3" t="str">
        <f t="shared" si="19"/>
        <v>22-28</v>
      </c>
    </row>
    <row r="476" spans="1:9" ht="18.75" x14ac:dyDescent="0.3">
      <c r="A476" s="1">
        <v>46199</v>
      </c>
      <c r="B476" s="2" t="s">
        <v>221</v>
      </c>
      <c r="C476" s="2">
        <v>2</v>
      </c>
      <c r="D476" s="2">
        <v>30</v>
      </c>
      <c r="E476" s="2">
        <f t="shared" si="20"/>
        <v>60</v>
      </c>
      <c r="F476" s="3" t="str">
        <f>PROPER(Table13[[#This Row],[Product Name(RAW)]])</f>
        <v xml:space="preserve">V Clam </v>
      </c>
      <c r="G476" s="3" t="str">
        <f>TEXT(Table13[[#This Row],[Date]],"dddd")</f>
        <v>Friday</v>
      </c>
      <c r="H476" s="3" t="str">
        <f t="shared" si="18"/>
        <v>Week 4</v>
      </c>
      <c r="I476" s="3" t="str">
        <f t="shared" si="19"/>
        <v>22-28</v>
      </c>
    </row>
    <row r="477" spans="1:9" ht="18.75" x14ac:dyDescent="0.3">
      <c r="A477" s="1">
        <v>46199</v>
      </c>
      <c r="B477" s="2" t="s">
        <v>111</v>
      </c>
      <c r="C477" s="2">
        <v>2</v>
      </c>
      <c r="D477" s="2">
        <v>35</v>
      </c>
      <c r="E477" s="2">
        <f t="shared" si="20"/>
        <v>70</v>
      </c>
      <c r="F477" s="3" t="str">
        <f>PROPER(Table13[[#This Row],[Product Name(RAW)]])</f>
        <v xml:space="preserve">Nita Coil </v>
      </c>
      <c r="G477" s="3" t="str">
        <f>TEXT(Table13[[#This Row],[Date]],"dddd")</f>
        <v>Friday</v>
      </c>
      <c r="H477" s="3" t="str">
        <f t="shared" si="18"/>
        <v>Week 4</v>
      </c>
      <c r="I477" s="3" t="str">
        <f t="shared" si="19"/>
        <v>22-28</v>
      </c>
    </row>
    <row r="478" spans="1:9" ht="18.75" x14ac:dyDescent="0.3">
      <c r="A478" s="1">
        <v>46199</v>
      </c>
      <c r="B478" s="2" t="s">
        <v>156</v>
      </c>
      <c r="C478" s="2">
        <v>50</v>
      </c>
      <c r="D478" s="2">
        <v>20</v>
      </c>
      <c r="E478" s="2">
        <v>1000</v>
      </c>
      <c r="F478" s="3" t="str">
        <f>PROPER(Table13[[#This Row],[Product Name(RAW)]])</f>
        <v xml:space="preserve">6Mm Ss Wire </v>
      </c>
      <c r="G478" s="3" t="str">
        <f>TEXT(Table13[[#This Row],[Date]],"dddd")</f>
        <v>Friday</v>
      </c>
      <c r="H478" s="3" t="str">
        <f t="shared" si="18"/>
        <v>Week 4</v>
      </c>
      <c r="I478" s="3" t="str">
        <f t="shared" si="19"/>
        <v>22-28</v>
      </c>
    </row>
    <row r="479" spans="1:9" ht="18.75" x14ac:dyDescent="0.3">
      <c r="A479" s="1">
        <v>46199</v>
      </c>
      <c r="B479" s="2" t="s">
        <v>6</v>
      </c>
      <c r="C479" s="2">
        <v>1</v>
      </c>
      <c r="D479" s="2">
        <v>150</v>
      </c>
      <c r="E479" s="2">
        <v>150</v>
      </c>
      <c r="F479" s="3" t="str">
        <f>PROPER(Table13[[#This Row],[Product Name(RAW)]])</f>
        <v xml:space="preserve">Cona Ss Com Box </v>
      </c>
      <c r="G479" s="3" t="str">
        <f>TEXT(Table13[[#This Row],[Date]],"dddd")</f>
        <v>Friday</v>
      </c>
      <c r="H479" s="3" t="str">
        <f t="shared" si="18"/>
        <v>Week 4</v>
      </c>
      <c r="I479" s="3" t="str">
        <f t="shared" si="19"/>
        <v>22-28</v>
      </c>
    </row>
    <row r="480" spans="1:9" ht="18.75" x14ac:dyDescent="0.3">
      <c r="A480" s="1">
        <v>46199</v>
      </c>
      <c r="B480" s="2" t="s">
        <v>235</v>
      </c>
      <c r="C480" s="2">
        <v>1</v>
      </c>
      <c r="D480" s="2">
        <v>60</v>
      </c>
      <c r="E480" s="2">
        <v>60</v>
      </c>
      <c r="F480" s="3" t="str">
        <f>PROPER(Table13[[#This Row],[Product Name(RAW)]])</f>
        <v xml:space="preserve">Tapriya Testor </v>
      </c>
      <c r="G480" s="3" t="str">
        <f>TEXT(Table13[[#This Row],[Date]],"dddd")</f>
        <v>Friday</v>
      </c>
      <c r="H480" s="3" t="str">
        <f t="shared" si="18"/>
        <v>Week 4</v>
      </c>
      <c r="I480" s="3" t="str">
        <f t="shared" si="19"/>
        <v>22-28</v>
      </c>
    </row>
    <row r="481" spans="1:9" ht="18.75" x14ac:dyDescent="0.3">
      <c r="A481" s="1">
        <v>46199</v>
      </c>
      <c r="B481" s="2" t="s">
        <v>236</v>
      </c>
      <c r="C481" s="2">
        <v>1</v>
      </c>
      <c r="D481" s="2">
        <v>60</v>
      </c>
      <c r="E481" s="2">
        <v>60</v>
      </c>
      <c r="F481" s="3" t="str">
        <f>PROPER(Table13[[#This Row],[Product Name(RAW)]])</f>
        <v>Tapariya Cutter</v>
      </c>
      <c r="G481" s="3" t="str">
        <f>TEXT(Table13[[#This Row],[Date]],"dddd")</f>
        <v>Friday</v>
      </c>
      <c r="H481" s="3" t="str">
        <f t="shared" si="18"/>
        <v>Week 4</v>
      </c>
      <c r="I481" s="3" t="str">
        <f t="shared" si="19"/>
        <v>22-28</v>
      </c>
    </row>
    <row r="482" spans="1:9" ht="18.75" x14ac:dyDescent="0.3">
      <c r="A482" s="1">
        <v>46199</v>
      </c>
      <c r="B482" s="2" t="s">
        <v>155</v>
      </c>
      <c r="C482" s="2">
        <v>1</v>
      </c>
      <c r="D482" s="2">
        <v>1400</v>
      </c>
      <c r="E482" s="2">
        <f>C482*D482</f>
        <v>1400</v>
      </c>
      <c r="F482" s="3" t="str">
        <f>PROPER(Table13[[#This Row],[Product Name(RAW)]])</f>
        <v>Rolex King Hot Plate</v>
      </c>
      <c r="G482" s="3" t="str">
        <f>TEXT(Table13[[#This Row],[Date]],"dddd")</f>
        <v>Friday</v>
      </c>
      <c r="H482" s="3" t="str">
        <f t="shared" si="18"/>
        <v>Week 4</v>
      </c>
      <c r="I482" s="3" t="str">
        <f t="shared" si="19"/>
        <v>22-28</v>
      </c>
    </row>
    <row r="483" spans="1:9" ht="18.75" x14ac:dyDescent="0.3">
      <c r="A483" s="1">
        <v>46199</v>
      </c>
      <c r="B483" s="2" t="s">
        <v>129</v>
      </c>
      <c r="C483" s="2">
        <v>1</v>
      </c>
      <c r="D483" s="2">
        <v>580</v>
      </c>
      <c r="E483" s="2">
        <v>580</v>
      </c>
      <c r="F483" s="3" t="str">
        <f>PROPER(Table13[[#This Row],[Product Name(RAW)]])</f>
        <v xml:space="preserve">Torch </v>
      </c>
      <c r="G483" s="3" t="str">
        <f>TEXT(Table13[[#This Row],[Date]],"dddd")</f>
        <v>Friday</v>
      </c>
      <c r="H483" s="3" t="str">
        <f t="shared" si="18"/>
        <v>Week 4</v>
      </c>
      <c r="I483" s="3" t="str">
        <f t="shared" si="19"/>
        <v>22-28</v>
      </c>
    </row>
    <row r="484" spans="1:9" ht="18.75" x14ac:dyDescent="0.3">
      <c r="A484" s="1">
        <v>46199</v>
      </c>
      <c r="B484" s="2" t="s">
        <v>163</v>
      </c>
      <c r="C484" s="2">
        <v>1</v>
      </c>
      <c r="D484" s="2">
        <v>220</v>
      </c>
      <c r="E484" s="2">
        <f>C484*D484</f>
        <v>220</v>
      </c>
      <c r="F484" s="3" t="str">
        <f>PROPER(Table13[[#This Row],[Product Name(RAW)]])</f>
        <v xml:space="preserve">Extention Bord </v>
      </c>
      <c r="G484" s="3" t="str">
        <f>TEXT(Table13[[#This Row],[Date]],"dddd")</f>
        <v>Friday</v>
      </c>
      <c r="H484" s="3" t="str">
        <f t="shared" si="18"/>
        <v>Week 4</v>
      </c>
      <c r="I484" s="3" t="str">
        <f t="shared" si="19"/>
        <v>22-28</v>
      </c>
    </row>
    <row r="485" spans="1:9" ht="18.75" x14ac:dyDescent="0.3">
      <c r="A485" s="1">
        <v>46199</v>
      </c>
      <c r="B485" s="2" t="s">
        <v>223</v>
      </c>
      <c r="C485" s="2">
        <v>1</v>
      </c>
      <c r="D485" s="2">
        <v>420</v>
      </c>
      <c r="E485" s="2">
        <v>420</v>
      </c>
      <c r="F485" s="3" t="str">
        <f>PROPER(Table13[[#This Row],[Product Name(RAW)]])</f>
        <v xml:space="preserve">14W Charging Light Ecolink </v>
      </c>
      <c r="G485" s="3" t="str">
        <f>TEXT(Table13[[#This Row],[Date]],"dddd")</f>
        <v>Friday</v>
      </c>
      <c r="H485" s="3" t="str">
        <f t="shared" si="18"/>
        <v>Week 4</v>
      </c>
      <c r="I485" s="3" t="str">
        <f t="shared" si="19"/>
        <v>22-28</v>
      </c>
    </row>
    <row r="486" spans="1:9" ht="18.75" x14ac:dyDescent="0.3">
      <c r="A486" s="1">
        <v>46199</v>
      </c>
      <c r="B486" s="2" t="s">
        <v>55</v>
      </c>
      <c r="C486" s="2">
        <v>6</v>
      </c>
      <c r="D486" s="2">
        <v>100</v>
      </c>
      <c r="E486" s="2">
        <f>C486*D486</f>
        <v>600</v>
      </c>
      <c r="F486" s="3" t="str">
        <f>PROPER(Table13[[#This Row],[Product Name(RAW)]])</f>
        <v xml:space="preserve">3W Junction Light </v>
      </c>
      <c r="G486" s="3" t="str">
        <f>TEXT(Table13[[#This Row],[Date]],"dddd")</f>
        <v>Friday</v>
      </c>
      <c r="H486" s="3" t="str">
        <f t="shared" si="18"/>
        <v>Week 4</v>
      </c>
      <c r="I486" s="3" t="str">
        <f t="shared" si="19"/>
        <v>22-28</v>
      </c>
    </row>
    <row r="487" spans="1:9" ht="18.75" x14ac:dyDescent="0.3">
      <c r="A487" s="1">
        <v>46199</v>
      </c>
      <c r="B487" s="2" t="s">
        <v>116</v>
      </c>
      <c r="C487" s="2">
        <v>8</v>
      </c>
      <c r="D487" s="2">
        <v>140</v>
      </c>
      <c r="E487" s="2">
        <f>C487*D487</f>
        <v>1120</v>
      </c>
      <c r="F487" s="3" t="str">
        <f>PROPER(Table13[[#This Row],[Product Name(RAW)]])</f>
        <v xml:space="preserve">Sp Mcb Legrand </v>
      </c>
      <c r="G487" s="3" t="str">
        <f>TEXT(Table13[[#This Row],[Date]],"dddd")</f>
        <v>Friday</v>
      </c>
      <c r="H487" s="3" t="str">
        <f t="shared" si="18"/>
        <v>Week 4</v>
      </c>
      <c r="I487" s="3" t="str">
        <f t="shared" si="19"/>
        <v>22-28</v>
      </c>
    </row>
    <row r="488" spans="1:9" ht="18.75" x14ac:dyDescent="0.3">
      <c r="A488" s="1">
        <v>46199</v>
      </c>
      <c r="B488" s="2" t="s">
        <v>237</v>
      </c>
      <c r="C488" s="2">
        <v>2</v>
      </c>
      <c r="D488" s="2">
        <v>1580</v>
      </c>
      <c r="E488" s="2">
        <f>C488*D488</f>
        <v>3160</v>
      </c>
      <c r="F488" s="3" t="str">
        <f>PROPER(Table13[[#This Row],[Product Name(RAW)]])</f>
        <v xml:space="preserve">1.Mm Rr </v>
      </c>
      <c r="G488" s="3" t="str">
        <f>TEXT(Table13[[#This Row],[Date]],"dddd")</f>
        <v>Friday</v>
      </c>
      <c r="H488" s="3" t="str">
        <f t="shared" si="18"/>
        <v>Week 4</v>
      </c>
      <c r="I488" s="3" t="str">
        <f t="shared" si="19"/>
        <v>22-28</v>
      </c>
    </row>
    <row r="489" spans="1:9" ht="18.75" x14ac:dyDescent="0.3">
      <c r="A489" s="1">
        <v>46199</v>
      </c>
      <c r="B489" s="2" t="s">
        <v>238</v>
      </c>
      <c r="C489" s="2">
        <v>1</v>
      </c>
      <c r="D489" s="2">
        <v>3670</v>
      </c>
      <c r="E489" s="2">
        <f>C489*D489</f>
        <v>3670</v>
      </c>
      <c r="F489" s="3" t="str">
        <f>PROPER(Table13[[#This Row],[Product Name(RAW)]])</f>
        <v xml:space="preserve">2.5 Mm </v>
      </c>
      <c r="G489" s="3" t="str">
        <f>TEXT(Table13[[#This Row],[Date]],"dddd")</f>
        <v>Friday</v>
      </c>
      <c r="H489" s="3" t="str">
        <f t="shared" si="18"/>
        <v>Week 4</v>
      </c>
      <c r="I489" s="3" t="str">
        <f t="shared" si="19"/>
        <v>22-28</v>
      </c>
    </row>
    <row r="490" spans="1:9" ht="18.75" x14ac:dyDescent="0.3">
      <c r="A490" s="1">
        <v>46199</v>
      </c>
      <c r="B490" s="2" t="s">
        <v>71</v>
      </c>
      <c r="C490" s="2">
        <v>1</v>
      </c>
      <c r="D490" s="2">
        <v>60</v>
      </c>
      <c r="E490" s="2">
        <v>60</v>
      </c>
      <c r="F490" s="3" t="str">
        <f>PROPER(Table13[[#This Row],[Product Name(RAW)]])</f>
        <v xml:space="preserve">9W Light </v>
      </c>
      <c r="G490" s="3" t="str">
        <f>TEXT(Table13[[#This Row],[Date]],"dddd")</f>
        <v>Friday</v>
      </c>
      <c r="H490" s="3" t="str">
        <f t="shared" si="18"/>
        <v>Week 4</v>
      </c>
      <c r="I490" s="3" t="str">
        <f t="shared" si="19"/>
        <v>22-28</v>
      </c>
    </row>
    <row r="491" spans="1:9" ht="18.75" x14ac:dyDescent="0.3">
      <c r="A491" s="1">
        <v>46200</v>
      </c>
      <c r="B491" s="2" t="s">
        <v>31</v>
      </c>
      <c r="C491" s="2">
        <v>1</v>
      </c>
      <c r="D491" s="2">
        <v>10</v>
      </c>
      <c r="E491" s="2">
        <f>C491*D491</f>
        <v>10</v>
      </c>
      <c r="F491" s="3" t="str">
        <f>PROPER(Table13[[#This Row],[Product Name(RAW)]])</f>
        <v xml:space="preserve">Tep </v>
      </c>
      <c r="G491" s="3" t="str">
        <f>TEXT(Table13[[#This Row],[Date]],"dddd")</f>
        <v>Saturday</v>
      </c>
      <c r="H491" s="3" t="str">
        <f t="shared" si="18"/>
        <v>Week 4</v>
      </c>
      <c r="I491" s="3" t="str">
        <f t="shared" si="19"/>
        <v>22-28</v>
      </c>
    </row>
    <row r="492" spans="1:9" ht="18.75" x14ac:dyDescent="0.3">
      <c r="A492" s="1">
        <v>46200</v>
      </c>
      <c r="B492" s="2" t="s">
        <v>19</v>
      </c>
      <c r="C492" s="2">
        <v>1</v>
      </c>
      <c r="D492" s="2">
        <v>120</v>
      </c>
      <c r="E492" s="2">
        <f>C492*D492</f>
        <v>120</v>
      </c>
      <c r="F492" s="3" t="str">
        <f>PROPER(Table13[[#This Row],[Product Name(RAW)]])</f>
        <v xml:space="preserve">Cona Dp Switch </v>
      </c>
      <c r="G492" s="3" t="str">
        <f>TEXT(Table13[[#This Row],[Date]],"dddd")</f>
        <v>Saturday</v>
      </c>
      <c r="H492" s="3" t="str">
        <f t="shared" si="18"/>
        <v>Week 4</v>
      </c>
      <c r="I492" s="3" t="str">
        <f t="shared" si="19"/>
        <v>22-28</v>
      </c>
    </row>
    <row r="493" spans="1:9" ht="18.75" x14ac:dyDescent="0.3">
      <c r="A493" s="1">
        <v>46200</v>
      </c>
      <c r="B493" s="2" t="s">
        <v>239</v>
      </c>
      <c r="C493" s="2">
        <v>2</v>
      </c>
      <c r="D493" s="2">
        <v>10</v>
      </c>
      <c r="E493" s="2">
        <f>C493*D493</f>
        <v>20</v>
      </c>
      <c r="F493" s="3" t="str">
        <f>PROPER(Table13[[#This Row],[Product Name(RAW)]])</f>
        <v xml:space="preserve">2Pin </v>
      </c>
      <c r="G493" s="3" t="str">
        <f>TEXT(Table13[[#This Row],[Date]],"dddd")</f>
        <v>Saturday</v>
      </c>
      <c r="H493" s="3" t="str">
        <f t="shared" si="18"/>
        <v>Week 4</v>
      </c>
      <c r="I493" s="3" t="str">
        <f t="shared" si="19"/>
        <v>22-28</v>
      </c>
    </row>
    <row r="494" spans="1:9" ht="18.75" x14ac:dyDescent="0.3">
      <c r="A494" s="1">
        <v>46200</v>
      </c>
      <c r="B494" s="2" t="s">
        <v>24</v>
      </c>
      <c r="C494" s="2">
        <v>42</v>
      </c>
      <c r="D494" s="2">
        <v>10</v>
      </c>
      <c r="E494" s="2">
        <f>C494*D494</f>
        <v>420</v>
      </c>
      <c r="F494" s="3" t="str">
        <f>PROPER(Table13[[#This Row],[Product Name(RAW)]])</f>
        <v xml:space="preserve">Sada Holder </v>
      </c>
      <c r="G494" s="3" t="str">
        <f>TEXT(Table13[[#This Row],[Date]],"dddd")</f>
        <v>Saturday</v>
      </c>
      <c r="H494" s="3" t="str">
        <f t="shared" si="18"/>
        <v>Week 4</v>
      </c>
      <c r="I494" s="3" t="str">
        <f t="shared" si="19"/>
        <v>22-28</v>
      </c>
    </row>
    <row r="495" spans="1:9" ht="18.75" x14ac:dyDescent="0.3">
      <c r="A495" s="1">
        <v>46200</v>
      </c>
      <c r="B495" s="2" t="s">
        <v>110</v>
      </c>
      <c r="C495" s="2">
        <v>1</v>
      </c>
      <c r="D495" s="2">
        <v>40</v>
      </c>
      <c r="E495" s="2">
        <v>40</v>
      </c>
      <c r="F495" s="3" t="str">
        <f>PROPER(Table13[[#This Row],[Product Name(RAW)]])</f>
        <v xml:space="preserve">Casing Pati </v>
      </c>
      <c r="G495" s="3" t="str">
        <f>TEXT(Table13[[#This Row],[Date]],"dddd")</f>
        <v>Saturday</v>
      </c>
      <c r="H495" s="3" t="str">
        <f t="shared" si="18"/>
        <v>Week 4</v>
      </c>
      <c r="I495" s="3" t="str">
        <f t="shared" si="19"/>
        <v>22-28</v>
      </c>
    </row>
    <row r="496" spans="1:9" ht="18.75" x14ac:dyDescent="0.3">
      <c r="A496" s="1">
        <v>46200</v>
      </c>
      <c r="B496" s="2" t="s">
        <v>240</v>
      </c>
      <c r="C496" s="2">
        <v>1</v>
      </c>
      <c r="D496" s="2">
        <v>60</v>
      </c>
      <c r="E496" s="2">
        <v>60</v>
      </c>
      <c r="F496" s="3" t="str">
        <f>PROPER(Table13[[#This Row],[Product Name(RAW)]])</f>
        <v xml:space="preserve">Polo Nal </v>
      </c>
      <c r="G496" s="3" t="str">
        <f>TEXT(Table13[[#This Row],[Date]],"dddd")</f>
        <v>Saturday</v>
      </c>
      <c r="H496" s="3" t="str">
        <f t="shared" si="18"/>
        <v>Week 4</v>
      </c>
      <c r="I496" s="3" t="str">
        <f t="shared" si="19"/>
        <v>22-28</v>
      </c>
    </row>
    <row r="497" spans="1:9" ht="18.75" x14ac:dyDescent="0.3">
      <c r="A497" s="1">
        <v>46200</v>
      </c>
      <c r="B497" s="2" t="s">
        <v>241</v>
      </c>
      <c r="C497" s="2">
        <v>6</v>
      </c>
      <c r="D497" s="2">
        <v>28</v>
      </c>
      <c r="E497" s="2">
        <v>168</v>
      </c>
      <c r="F497" s="3" t="str">
        <f>PROPER(Table13[[#This Row],[Product Name(RAW)]])</f>
        <v xml:space="preserve">1.5Mm </v>
      </c>
      <c r="G497" s="3" t="str">
        <f>TEXT(Table13[[#This Row],[Date]],"dddd")</f>
        <v>Saturday</v>
      </c>
      <c r="H497" s="3" t="str">
        <f t="shared" si="18"/>
        <v>Week 4</v>
      </c>
      <c r="I497" s="3" t="str">
        <f t="shared" si="19"/>
        <v>22-28</v>
      </c>
    </row>
    <row r="498" spans="1:9" ht="18.75" x14ac:dyDescent="0.3">
      <c r="A498" s="1">
        <v>46200</v>
      </c>
      <c r="B498" s="2" t="s">
        <v>238</v>
      </c>
      <c r="C498" s="2">
        <v>5</v>
      </c>
      <c r="D498" s="2">
        <v>42</v>
      </c>
      <c r="E498" s="2">
        <v>210</v>
      </c>
      <c r="F498" s="3" t="str">
        <f>PROPER(Table13[[#This Row],[Product Name(RAW)]])</f>
        <v xml:space="preserve">2.5 Mm </v>
      </c>
      <c r="G498" s="3" t="str">
        <f>TEXT(Table13[[#This Row],[Date]],"dddd")</f>
        <v>Saturday</v>
      </c>
      <c r="H498" s="3" t="str">
        <f t="shared" si="18"/>
        <v>Week 4</v>
      </c>
      <c r="I498" s="3" t="str">
        <f t="shared" si="19"/>
        <v>22-28</v>
      </c>
    </row>
    <row r="499" spans="1:9" ht="18.75" x14ac:dyDescent="0.3">
      <c r="A499" s="1">
        <v>46200</v>
      </c>
      <c r="B499" s="2" t="s">
        <v>242</v>
      </c>
      <c r="C499" s="2">
        <v>1</v>
      </c>
      <c r="D499" s="2">
        <v>200</v>
      </c>
      <c r="E499" s="2">
        <f>C499*D499</f>
        <v>200</v>
      </c>
      <c r="F499" s="3" t="str">
        <f>PROPER(Table13[[#This Row],[Product Name(RAW)]])</f>
        <v xml:space="preserve">20W Light </v>
      </c>
      <c r="G499" s="3" t="str">
        <f>TEXT(Table13[[#This Row],[Date]],"dddd")</f>
        <v>Saturday</v>
      </c>
      <c r="H499" s="3" t="str">
        <f t="shared" si="18"/>
        <v>Week 4</v>
      </c>
      <c r="I499" s="3" t="str">
        <f t="shared" si="19"/>
        <v>22-28</v>
      </c>
    </row>
    <row r="500" spans="1:9" ht="18.75" x14ac:dyDescent="0.3">
      <c r="A500" s="1">
        <v>46200</v>
      </c>
      <c r="B500" s="2" t="s">
        <v>218</v>
      </c>
      <c r="C500" s="2">
        <v>1</v>
      </c>
      <c r="D500" s="2">
        <v>90</v>
      </c>
      <c r="E500" s="2">
        <v>90</v>
      </c>
      <c r="F500" s="3" t="str">
        <f>PROPER(Table13[[#This Row],[Product Name(RAW)]])</f>
        <v xml:space="preserve">12M Pancham </v>
      </c>
      <c r="G500" s="3" t="str">
        <f>TEXT(Table13[[#This Row],[Date]],"dddd")</f>
        <v>Saturday</v>
      </c>
      <c r="H500" s="3" t="str">
        <f t="shared" si="18"/>
        <v>Week 4</v>
      </c>
      <c r="I500" s="3" t="str">
        <f t="shared" si="19"/>
        <v>22-28</v>
      </c>
    </row>
    <row r="501" spans="1:9" ht="18.75" x14ac:dyDescent="0.3">
      <c r="A501" s="1">
        <v>46200</v>
      </c>
      <c r="B501" s="2" t="s">
        <v>269</v>
      </c>
      <c r="C501" s="2">
        <v>5</v>
      </c>
      <c r="D501" s="2">
        <v>15</v>
      </c>
      <c r="E501" s="2">
        <f>C501*D501</f>
        <v>75</v>
      </c>
      <c r="F501" s="3" t="str">
        <f>PROPER(Table13[[#This Row],[Product Name(RAW)]])</f>
        <v xml:space="preserve">6A Switch </v>
      </c>
      <c r="G501" s="3" t="str">
        <f>TEXT(Table13[[#This Row],[Date]],"dddd")</f>
        <v>Saturday</v>
      </c>
      <c r="H501" s="3" t="str">
        <f t="shared" si="18"/>
        <v>Week 4</v>
      </c>
      <c r="I501" s="3" t="str">
        <f t="shared" si="19"/>
        <v>22-28</v>
      </c>
    </row>
    <row r="502" spans="1:9" ht="18.75" x14ac:dyDescent="0.3">
      <c r="A502" s="1">
        <v>46200</v>
      </c>
      <c r="B502" s="2" t="s">
        <v>92</v>
      </c>
      <c r="C502" s="2">
        <v>2</v>
      </c>
      <c r="D502" s="2">
        <v>35</v>
      </c>
      <c r="E502" s="2">
        <f>C502*D502</f>
        <v>70</v>
      </c>
      <c r="F502" s="3" t="str">
        <f>PROPER(Table13[[#This Row],[Product Name(RAW)]])</f>
        <v xml:space="preserve">6A Plug </v>
      </c>
      <c r="G502" s="3" t="str">
        <f>TEXT(Table13[[#This Row],[Date]],"dddd")</f>
        <v>Saturday</v>
      </c>
      <c r="H502" s="3" t="str">
        <f t="shared" si="18"/>
        <v>Week 4</v>
      </c>
      <c r="I502" s="3" t="str">
        <f t="shared" si="19"/>
        <v>22-28</v>
      </c>
    </row>
    <row r="503" spans="1:9" ht="18.75" x14ac:dyDescent="0.3">
      <c r="A503" s="1">
        <v>46200</v>
      </c>
      <c r="B503" s="2" t="s">
        <v>115</v>
      </c>
      <c r="C503" s="2">
        <v>1</v>
      </c>
      <c r="D503" s="2">
        <v>80</v>
      </c>
      <c r="E503" s="2">
        <v>80</v>
      </c>
      <c r="F503" s="3" t="str">
        <f>PROPER(Table13[[#This Row],[Product Name(RAW)]])</f>
        <v xml:space="preserve">1M Regulator </v>
      </c>
      <c r="G503" s="3" t="str">
        <f>TEXT(Table13[[#This Row],[Date]],"dddd")</f>
        <v>Saturday</v>
      </c>
      <c r="H503" s="3" t="str">
        <f t="shared" si="18"/>
        <v>Week 4</v>
      </c>
      <c r="I503" s="3" t="str">
        <f t="shared" si="19"/>
        <v>22-28</v>
      </c>
    </row>
    <row r="504" spans="1:9" ht="18.75" x14ac:dyDescent="0.3">
      <c r="A504" s="1">
        <v>46200</v>
      </c>
      <c r="B504" s="2" t="s">
        <v>243</v>
      </c>
      <c r="C504" s="2">
        <v>1</v>
      </c>
      <c r="D504" s="2">
        <v>100</v>
      </c>
      <c r="E504" s="2">
        <f>C504*D504</f>
        <v>100</v>
      </c>
      <c r="F504" s="3" t="str">
        <f>PROPER(Table13[[#This Row],[Product Name(RAW)]])</f>
        <v xml:space="preserve">Mini Mcb </v>
      </c>
      <c r="G504" s="3" t="str">
        <f>TEXT(Table13[[#This Row],[Date]],"dddd")</f>
        <v>Saturday</v>
      </c>
      <c r="H504" s="3" t="str">
        <f t="shared" si="18"/>
        <v>Week 4</v>
      </c>
      <c r="I504" s="3" t="str">
        <f t="shared" si="19"/>
        <v>22-28</v>
      </c>
    </row>
    <row r="505" spans="1:9" ht="18.75" x14ac:dyDescent="0.3">
      <c r="A505" s="1">
        <v>46200</v>
      </c>
      <c r="B505" s="2" t="s">
        <v>244</v>
      </c>
      <c r="C505" s="2">
        <v>1</v>
      </c>
      <c r="D505" s="2">
        <v>35</v>
      </c>
      <c r="E505" s="2">
        <f>C505*D505</f>
        <v>35</v>
      </c>
      <c r="F505" s="3" t="str">
        <f>PROPER(Table13[[#This Row],[Product Name(RAW)]])</f>
        <v xml:space="preserve">Incicator </v>
      </c>
      <c r="G505" s="3" t="str">
        <f>TEXT(Table13[[#This Row],[Date]],"dddd")</f>
        <v>Saturday</v>
      </c>
      <c r="H505" s="3" t="str">
        <f t="shared" si="18"/>
        <v>Week 4</v>
      </c>
      <c r="I505" s="3" t="str">
        <f t="shared" si="19"/>
        <v>22-28</v>
      </c>
    </row>
    <row r="506" spans="1:9" ht="18.75" x14ac:dyDescent="0.3">
      <c r="A506" s="1">
        <v>46200</v>
      </c>
      <c r="B506" s="2" t="s">
        <v>219</v>
      </c>
      <c r="C506" s="2">
        <v>1</v>
      </c>
      <c r="D506" s="2">
        <v>100</v>
      </c>
      <c r="E506" s="2">
        <f>C506*D506</f>
        <v>100</v>
      </c>
      <c r="F506" s="3" t="str">
        <f>PROPER(Table13[[#This Row],[Product Name(RAW)]])</f>
        <v>12W Light</v>
      </c>
      <c r="G506" s="3" t="str">
        <f>TEXT(Table13[[#This Row],[Date]],"dddd")</f>
        <v>Saturday</v>
      </c>
      <c r="H506" s="3" t="str">
        <f t="shared" si="18"/>
        <v>Week 4</v>
      </c>
      <c r="I506" s="3" t="str">
        <f t="shared" si="19"/>
        <v>22-28</v>
      </c>
    </row>
    <row r="507" spans="1:9" ht="18.75" x14ac:dyDescent="0.3">
      <c r="A507" s="1">
        <v>46200</v>
      </c>
      <c r="B507" s="2" t="s">
        <v>96</v>
      </c>
      <c r="C507" s="2">
        <v>5</v>
      </c>
      <c r="D507" s="2">
        <v>20</v>
      </c>
      <c r="E507" s="2">
        <v>100</v>
      </c>
      <c r="F507" s="3" t="str">
        <f>PROPER(Table13[[#This Row],[Product Name(RAW)]])</f>
        <v xml:space="preserve">1Mm Rr </v>
      </c>
      <c r="G507" s="3" t="str">
        <f>TEXT(Table13[[#This Row],[Date]],"dddd")</f>
        <v>Saturday</v>
      </c>
      <c r="H507" s="3" t="str">
        <f t="shared" si="18"/>
        <v>Week 4</v>
      </c>
      <c r="I507" s="3" t="str">
        <f t="shared" si="19"/>
        <v>22-28</v>
      </c>
    </row>
    <row r="508" spans="1:9" ht="18.75" x14ac:dyDescent="0.3">
      <c r="A508" s="1">
        <v>46200</v>
      </c>
      <c r="B508" s="2" t="s">
        <v>245</v>
      </c>
      <c r="C508" s="2">
        <v>1</v>
      </c>
      <c r="D508" s="2">
        <v>2780</v>
      </c>
      <c r="E508" s="2">
        <f t="shared" ref="E508:E517" si="21">C508*D508</f>
        <v>2780</v>
      </c>
      <c r="F508" s="3" t="str">
        <f>PROPER(Table13[[#This Row],[Product Name(RAW)]])</f>
        <v xml:space="preserve">Vijeta Intraed </v>
      </c>
      <c r="G508" s="3" t="str">
        <f>TEXT(Table13[[#This Row],[Date]],"dddd")</f>
        <v>Saturday</v>
      </c>
      <c r="H508" s="3" t="str">
        <f t="shared" si="18"/>
        <v>Week 4</v>
      </c>
      <c r="I508" s="3" t="str">
        <f t="shared" si="19"/>
        <v>22-28</v>
      </c>
    </row>
    <row r="509" spans="1:9" ht="18.75" x14ac:dyDescent="0.3">
      <c r="A509" s="1">
        <v>46200</v>
      </c>
      <c r="B509" s="2" t="s">
        <v>228</v>
      </c>
      <c r="C509" s="2">
        <v>1</v>
      </c>
      <c r="D509" s="2">
        <v>320</v>
      </c>
      <c r="E509" s="2">
        <f t="shared" si="21"/>
        <v>320</v>
      </c>
      <c r="F509" s="3" t="str">
        <f>PROPER(Table13[[#This Row],[Product Name(RAW)]])</f>
        <v xml:space="preserve">Light Tree Heater </v>
      </c>
      <c r="G509" s="3" t="str">
        <f>TEXT(Table13[[#This Row],[Date]],"dddd")</f>
        <v>Saturday</v>
      </c>
      <c r="H509" s="3" t="str">
        <f t="shared" si="18"/>
        <v>Week 4</v>
      </c>
      <c r="I509" s="3" t="str">
        <f t="shared" si="19"/>
        <v>22-28</v>
      </c>
    </row>
    <row r="510" spans="1:9" ht="18.75" x14ac:dyDescent="0.3">
      <c r="A510" s="1">
        <v>46200</v>
      </c>
      <c r="B510" s="2" t="s">
        <v>71</v>
      </c>
      <c r="C510" s="2">
        <v>2</v>
      </c>
      <c r="D510" s="2">
        <v>60</v>
      </c>
      <c r="E510" s="2">
        <f t="shared" si="21"/>
        <v>120</v>
      </c>
      <c r="F510" s="3" t="str">
        <f>PROPER(Table13[[#This Row],[Product Name(RAW)]])</f>
        <v xml:space="preserve">9W Light </v>
      </c>
      <c r="G510" s="3" t="str">
        <f>TEXT(Table13[[#This Row],[Date]],"dddd")</f>
        <v>Saturday</v>
      </c>
      <c r="H510" s="3" t="str">
        <f t="shared" si="18"/>
        <v>Week 4</v>
      </c>
      <c r="I510" s="3" t="str">
        <f t="shared" si="19"/>
        <v>22-28</v>
      </c>
    </row>
    <row r="511" spans="1:9" ht="18.75" x14ac:dyDescent="0.3">
      <c r="A511" s="1">
        <v>46201</v>
      </c>
      <c r="B511" s="2" t="s">
        <v>246</v>
      </c>
      <c r="C511" s="2">
        <v>8</v>
      </c>
      <c r="D511" s="2">
        <v>9</v>
      </c>
      <c r="E511" s="2">
        <f t="shared" si="21"/>
        <v>72</v>
      </c>
      <c r="F511" s="3" t="str">
        <f>PROPER(Table13[[#This Row],[Product Name(RAW)]])</f>
        <v>Flexible Wire</v>
      </c>
      <c r="G511" s="3" t="str">
        <f>TEXT(Table13[[#This Row],[Date]],"dddd")</f>
        <v>Sunday</v>
      </c>
      <c r="H511" s="3" t="str">
        <f t="shared" si="18"/>
        <v>Week 4</v>
      </c>
      <c r="I511" s="3" t="str">
        <f t="shared" si="19"/>
        <v>22-28</v>
      </c>
    </row>
    <row r="512" spans="1:9" ht="18.75" x14ac:dyDescent="0.3">
      <c r="A512" s="1">
        <v>46201</v>
      </c>
      <c r="B512" s="2" t="s">
        <v>31</v>
      </c>
      <c r="C512" s="2">
        <v>1</v>
      </c>
      <c r="D512" s="2">
        <v>10</v>
      </c>
      <c r="E512" s="2">
        <f t="shared" si="21"/>
        <v>10</v>
      </c>
      <c r="F512" s="3" t="str">
        <f>PROPER(Table13[[#This Row],[Product Name(RAW)]])</f>
        <v xml:space="preserve">Tep </v>
      </c>
      <c r="G512" s="3" t="str">
        <f>TEXT(Table13[[#This Row],[Date]],"dddd")</f>
        <v>Sunday</v>
      </c>
      <c r="H512" s="3" t="str">
        <f t="shared" si="18"/>
        <v>Week 4</v>
      </c>
      <c r="I512" s="3" t="str">
        <f t="shared" si="19"/>
        <v>22-28</v>
      </c>
    </row>
    <row r="513" spans="1:9" ht="18.75" x14ac:dyDescent="0.3">
      <c r="A513" s="1">
        <v>46201</v>
      </c>
      <c r="B513" s="2" t="s">
        <v>163</v>
      </c>
      <c r="C513" s="2">
        <v>1</v>
      </c>
      <c r="D513" s="2">
        <v>220</v>
      </c>
      <c r="E513" s="2">
        <f t="shared" si="21"/>
        <v>220</v>
      </c>
      <c r="F513" s="3" t="str">
        <f>PROPER(Table13[[#This Row],[Product Name(RAW)]])</f>
        <v xml:space="preserve">Extention Bord </v>
      </c>
      <c r="G513" s="3" t="str">
        <f>TEXT(Table13[[#This Row],[Date]],"dddd")</f>
        <v>Sunday</v>
      </c>
      <c r="H513" s="3" t="str">
        <f t="shared" si="18"/>
        <v>Week 4</v>
      </c>
      <c r="I513" s="3" t="str">
        <f t="shared" si="19"/>
        <v>22-28</v>
      </c>
    </row>
    <row r="514" spans="1:9" ht="18.75" x14ac:dyDescent="0.3">
      <c r="A514" s="1">
        <v>46201</v>
      </c>
      <c r="B514" s="2" t="s">
        <v>131</v>
      </c>
      <c r="C514" s="2">
        <v>1</v>
      </c>
      <c r="D514" s="2">
        <v>100</v>
      </c>
      <c r="E514" s="2">
        <f t="shared" si="21"/>
        <v>100</v>
      </c>
      <c r="F514" s="3" t="str">
        <f>PROPER(Table13[[#This Row],[Product Name(RAW)]])</f>
        <v xml:space="preserve">Chakri Bord </v>
      </c>
      <c r="G514" s="3" t="str">
        <f>TEXT(Table13[[#This Row],[Date]],"dddd")</f>
        <v>Sunday</v>
      </c>
      <c r="H514" s="3" t="str">
        <f t="shared" ref="H514:H555" si="22">"Week "&amp;ROUNDUP(DAY(A514)/7,0)</f>
        <v>Week 4</v>
      </c>
      <c r="I514" s="3" t="str">
        <f t="shared" ref="I514:I555" si="23">IF(DAY(A514)&lt;=7,"01-07",
IF(DAY(A514)&lt;=14,"08-14",
IF(DAY(A514)&lt;=21,"15-21",
IF(DAY(A514)&lt;=28,"22-28","29-30"))))</f>
        <v>22-28</v>
      </c>
    </row>
    <row r="515" spans="1:9" ht="18.75" x14ac:dyDescent="0.3">
      <c r="A515" s="1">
        <v>46201</v>
      </c>
      <c r="B515" s="2" t="s">
        <v>247</v>
      </c>
      <c r="C515" s="2">
        <v>1</v>
      </c>
      <c r="D515" s="2">
        <v>30</v>
      </c>
      <c r="E515" s="2">
        <f t="shared" si="21"/>
        <v>30</v>
      </c>
      <c r="F515" s="3" t="str">
        <f>PROPER(Table13[[#This Row],[Product Name(RAW)]])</f>
        <v xml:space="preserve">0.5 Light </v>
      </c>
      <c r="G515" s="3" t="str">
        <f>TEXT(Table13[[#This Row],[Date]],"dddd")</f>
        <v>Sunday</v>
      </c>
      <c r="H515" s="3" t="str">
        <f t="shared" si="22"/>
        <v>Week 4</v>
      </c>
      <c r="I515" s="3" t="str">
        <f t="shared" si="23"/>
        <v>22-28</v>
      </c>
    </row>
    <row r="516" spans="1:9" ht="18.75" x14ac:dyDescent="0.3">
      <c r="A516" s="1">
        <v>46201</v>
      </c>
      <c r="B516" s="2" t="s">
        <v>248</v>
      </c>
      <c r="C516" s="2">
        <v>1</v>
      </c>
      <c r="D516" s="2">
        <v>15</v>
      </c>
      <c r="E516" s="2">
        <f t="shared" si="21"/>
        <v>15</v>
      </c>
      <c r="F516" s="3" t="str">
        <f>PROPER(Table13[[#This Row],[Product Name(RAW)]])</f>
        <v>4.Mm Ss Wire</v>
      </c>
      <c r="G516" s="3" t="str">
        <f>TEXT(Table13[[#This Row],[Date]],"dddd")</f>
        <v>Sunday</v>
      </c>
      <c r="H516" s="3" t="str">
        <f t="shared" si="22"/>
        <v>Week 4</v>
      </c>
      <c r="I516" s="3" t="str">
        <f t="shared" si="23"/>
        <v>22-28</v>
      </c>
    </row>
    <row r="517" spans="1:9" ht="18.75" x14ac:dyDescent="0.3">
      <c r="A517" s="1">
        <v>46201</v>
      </c>
      <c r="B517" s="2" t="s">
        <v>35</v>
      </c>
      <c r="C517" s="2">
        <v>1</v>
      </c>
      <c r="D517" s="2">
        <v>30</v>
      </c>
      <c r="E517" s="2">
        <f t="shared" si="21"/>
        <v>30</v>
      </c>
      <c r="F517" s="3" t="str">
        <f>PROPER(Table13[[#This Row],[Product Name(RAW)]])</f>
        <v xml:space="preserve">3.15 Capacitor </v>
      </c>
      <c r="G517" s="3" t="str">
        <f>TEXT(Table13[[#This Row],[Date]],"dddd")</f>
        <v>Sunday</v>
      </c>
      <c r="H517" s="3" t="str">
        <f t="shared" si="22"/>
        <v>Week 4</v>
      </c>
      <c r="I517" s="3" t="str">
        <f t="shared" si="23"/>
        <v>22-28</v>
      </c>
    </row>
    <row r="518" spans="1:9" ht="18.75" x14ac:dyDescent="0.3">
      <c r="A518" s="1">
        <v>46201</v>
      </c>
      <c r="B518" s="2" t="s">
        <v>216</v>
      </c>
      <c r="C518" s="2">
        <v>1</v>
      </c>
      <c r="D518" s="2">
        <v>150</v>
      </c>
      <c r="E518" s="2">
        <v>150</v>
      </c>
      <c r="F518" s="3" t="str">
        <f>PROPER(Table13[[#This Row],[Product Name(RAW)]])</f>
        <v>22W Tub Light</v>
      </c>
      <c r="G518" s="3" t="str">
        <f>TEXT(Table13[[#This Row],[Date]],"dddd")</f>
        <v>Sunday</v>
      </c>
      <c r="H518" s="3" t="str">
        <f t="shared" si="22"/>
        <v>Week 4</v>
      </c>
      <c r="I518" s="3" t="str">
        <f t="shared" si="23"/>
        <v>22-28</v>
      </c>
    </row>
    <row r="519" spans="1:9" ht="18.75" x14ac:dyDescent="0.3">
      <c r="A519" s="1">
        <v>46201</v>
      </c>
      <c r="B519" s="2" t="s">
        <v>249</v>
      </c>
      <c r="C519" s="2">
        <v>1</v>
      </c>
      <c r="D519" s="2">
        <v>15</v>
      </c>
      <c r="E519" s="2">
        <f>C519*D519</f>
        <v>15</v>
      </c>
      <c r="F519" s="3" t="str">
        <f>PROPER(Table13[[#This Row],[Product Name(RAW)]])</f>
        <v xml:space="preserve">Harison Switch </v>
      </c>
      <c r="G519" s="3" t="str">
        <f>TEXT(Table13[[#This Row],[Date]],"dddd")</f>
        <v>Sunday</v>
      </c>
      <c r="H519" s="3" t="str">
        <f t="shared" si="22"/>
        <v>Week 4</v>
      </c>
      <c r="I519" s="3" t="str">
        <f t="shared" si="23"/>
        <v>22-28</v>
      </c>
    </row>
    <row r="520" spans="1:9" ht="18.75" x14ac:dyDescent="0.3">
      <c r="A520" s="1">
        <v>46201</v>
      </c>
      <c r="B520" s="2" t="s">
        <v>6</v>
      </c>
      <c r="C520" s="2">
        <v>1</v>
      </c>
      <c r="D520" s="2">
        <v>150</v>
      </c>
      <c r="E520" s="2">
        <v>150</v>
      </c>
      <c r="F520" s="3" t="str">
        <f>PROPER(Table13[[#This Row],[Product Name(RAW)]])</f>
        <v xml:space="preserve">Cona Ss Com Box </v>
      </c>
      <c r="G520" s="3" t="str">
        <f>TEXT(Table13[[#This Row],[Date]],"dddd")</f>
        <v>Sunday</v>
      </c>
      <c r="H520" s="3" t="str">
        <f t="shared" si="22"/>
        <v>Week 4</v>
      </c>
      <c r="I520" s="3" t="str">
        <f t="shared" si="23"/>
        <v>22-28</v>
      </c>
    </row>
    <row r="521" spans="1:9" ht="18.75" x14ac:dyDescent="0.3">
      <c r="A521" s="1">
        <v>46201</v>
      </c>
      <c r="B521" s="2" t="s">
        <v>250</v>
      </c>
      <c r="C521" s="2">
        <v>1</v>
      </c>
      <c r="D521" s="2">
        <v>50</v>
      </c>
      <c r="E521" s="2">
        <v>50</v>
      </c>
      <c r="F521" s="3" t="str">
        <f>PROPER(Table13[[#This Row],[Product Name(RAW)]])</f>
        <v xml:space="preserve">4M Pancham </v>
      </c>
      <c r="G521" s="3" t="str">
        <f>TEXT(Table13[[#This Row],[Date]],"dddd")</f>
        <v>Sunday</v>
      </c>
      <c r="H521" s="3" t="str">
        <f t="shared" si="22"/>
        <v>Week 4</v>
      </c>
      <c r="I521" s="3" t="str">
        <f t="shared" si="23"/>
        <v>22-28</v>
      </c>
    </row>
    <row r="522" spans="1:9" ht="18.75" x14ac:dyDescent="0.3">
      <c r="A522" s="1">
        <v>46201</v>
      </c>
      <c r="B522" s="2" t="s">
        <v>269</v>
      </c>
      <c r="C522" s="2">
        <v>2</v>
      </c>
      <c r="D522" s="2">
        <v>15</v>
      </c>
      <c r="E522" s="2">
        <v>30</v>
      </c>
      <c r="F522" s="3" t="str">
        <f>PROPER(Table13[[#This Row],[Product Name(RAW)]])</f>
        <v xml:space="preserve">6A Switch </v>
      </c>
      <c r="G522" s="3" t="str">
        <f>TEXT(Table13[[#This Row],[Date]],"dddd")</f>
        <v>Sunday</v>
      </c>
      <c r="H522" s="3" t="str">
        <f t="shared" si="22"/>
        <v>Week 4</v>
      </c>
      <c r="I522" s="3" t="str">
        <f t="shared" si="23"/>
        <v>22-28</v>
      </c>
    </row>
    <row r="523" spans="1:9" ht="18.75" x14ac:dyDescent="0.3">
      <c r="A523" s="1">
        <v>46201</v>
      </c>
      <c r="B523" s="2" t="s">
        <v>92</v>
      </c>
      <c r="C523" s="2">
        <v>1</v>
      </c>
      <c r="D523" s="2">
        <v>35</v>
      </c>
      <c r="E523" s="2">
        <v>35</v>
      </c>
      <c r="F523" s="3" t="str">
        <f>PROPER(Table13[[#This Row],[Product Name(RAW)]])</f>
        <v xml:space="preserve">6A Plug </v>
      </c>
      <c r="G523" s="3" t="str">
        <f>TEXT(Table13[[#This Row],[Date]],"dddd")</f>
        <v>Sunday</v>
      </c>
      <c r="H523" s="3" t="str">
        <f t="shared" si="22"/>
        <v>Week 4</v>
      </c>
      <c r="I523" s="3" t="str">
        <f t="shared" si="23"/>
        <v>22-28</v>
      </c>
    </row>
    <row r="524" spans="1:9" ht="18.75" x14ac:dyDescent="0.3">
      <c r="A524" s="1">
        <v>46201</v>
      </c>
      <c r="B524" s="2" t="s">
        <v>109</v>
      </c>
      <c r="C524" s="2">
        <v>1</v>
      </c>
      <c r="D524" s="2">
        <v>30</v>
      </c>
      <c r="E524" s="2">
        <f t="shared" ref="E524:E529" si="24">C524*D524</f>
        <v>30</v>
      </c>
      <c r="F524" s="3" t="str">
        <f>PROPER(Table13[[#This Row],[Product Name(RAW)]])</f>
        <v xml:space="preserve">A Holder </v>
      </c>
      <c r="G524" s="3" t="str">
        <f>TEXT(Table13[[#This Row],[Date]],"dddd")</f>
        <v>Sunday</v>
      </c>
      <c r="H524" s="3" t="str">
        <f t="shared" si="22"/>
        <v>Week 4</v>
      </c>
      <c r="I524" s="3" t="str">
        <f t="shared" si="23"/>
        <v>22-28</v>
      </c>
    </row>
    <row r="525" spans="1:9" ht="18.75" x14ac:dyDescent="0.3">
      <c r="A525" s="1">
        <v>46201</v>
      </c>
      <c r="B525" s="2" t="s">
        <v>251</v>
      </c>
      <c r="C525" s="2">
        <v>1</v>
      </c>
      <c r="D525" s="2">
        <v>10</v>
      </c>
      <c r="E525" s="2">
        <f t="shared" si="24"/>
        <v>10</v>
      </c>
      <c r="F525" s="3" t="str">
        <f>PROPER(Table13[[#This Row],[Product Name(RAW)]])</f>
        <v xml:space="preserve">1Way Cuntion </v>
      </c>
      <c r="G525" s="3" t="str">
        <f>TEXT(Table13[[#This Row],[Date]],"dddd")</f>
        <v>Sunday</v>
      </c>
      <c r="H525" s="3" t="str">
        <f t="shared" si="22"/>
        <v>Week 4</v>
      </c>
      <c r="I525" s="3" t="str">
        <f t="shared" si="23"/>
        <v>22-28</v>
      </c>
    </row>
    <row r="526" spans="1:9" ht="18.75" x14ac:dyDescent="0.3">
      <c r="A526" s="1">
        <v>46201</v>
      </c>
      <c r="B526" s="2" t="s">
        <v>252</v>
      </c>
      <c r="C526" s="2">
        <v>2</v>
      </c>
      <c r="D526" s="2">
        <v>350</v>
      </c>
      <c r="E526" s="2">
        <f t="shared" si="24"/>
        <v>700</v>
      </c>
      <c r="F526" s="3" t="str">
        <f>PROPER(Table13[[#This Row],[Product Name(RAW)]])</f>
        <v xml:space="preserve">10A Chok </v>
      </c>
      <c r="G526" s="3" t="str">
        <f>TEXT(Table13[[#This Row],[Date]],"dddd")</f>
        <v>Sunday</v>
      </c>
      <c r="H526" s="3" t="str">
        <f t="shared" si="22"/>
        <v>Week 4</v>
      </c>
      <c r="I526" s="3" t="str">
        <f t="shared" si="23"/>
        <v>22-28</v>
      </c>
    </row>
    <row r="527" spans="1:9" ht="18.75" x14ac:dyDescent="0.3">
      <c r="A527" s="1">
        <v>46201</v>
      </c>
      <c r="B527" s="2" t="s">
        <v>33</v>
      </c>
      <c r="C527" s="2">
        <v>1</v>
      </c>
      <c r="D527" s="2">
        <v>250</v>
      </c>
      <c r="E527" s="2">
        <f t="shared" si="24"/>
        <v>250</v>
      </c>
      <c r="F527" s="3" t="str">
        <f>PROPER(Table13[[#This Row],[Product Name(RAW)]])</f>
        <v xml:space="preserve">5A Chok Metal </v>
      </c>
      <c r="G527" s="3" t="str">
        <f>TEXT(Table13[[#This Row],[Date]],"dddd")</f>
        <v>Sunday</v>
      </c>
      <c r="H527" s="3" t="str">
        <f t="shared" si="22"/>
        <v>Week 4</v>
      </c>
      <c r="I527" s="3" t="str">
        <f t="shared" si="23"/>
        <v>22-28</v>
      </c>
    </row>
    <row r="528" spans="1:9" ht="18.75" x14ac:dyDescent="0.3">
      <c r="A528" s="1">
        <v>46201</v>
      </c>
      <c r="B528" s="2" t="s">
        <v>158</v>
      </c>
      <c r="C528" s="2">
        <v>3</v>
      </c>
      <c r="D528" s="2">
        <v>70</v>
      </c>
      <c r="E528" s="2">
        <f t="shared" si="24"/>
        <v>210</v>
      </c>
      <c r="F528" s="3" t="str">
        <f>PROPER(Table13[[#This Row],[Product Name(RAW)]])</f>
        <v xml:space="preserve">17Mm Profile Patti </v>
      </c>
      <c r="G528" s="3" t="str">
        <f>TEXT(Table13[[#This Row],[Date]],"dddd")</f>
        <v>Sunday</v>
      </c>
      <c r="H528" s="3" t="str">
        <f t="shared" si="22"/>
        <v>Week 4</v>
      </c>
      <c r="I528" s="3" t="str">
        <f t="shared" si="23"/>
        <v>22-28</v>
      </c>
    </row>
    <row r="529" spans="1:9" ht="18.75" x14ac:dyDescent="0.3">
      <c r="A529" s="1">
        <v>46201</v>
      </c>
      <c r="B529" s="2" t="s">
        <v>253</v>
      </c>
      <c r="C529" s="2">
        <v>3</v>
      </c>
      <c r="D529" s="2">
        <v>300</v>
      </c>
      <c r="E529" s="2">
        <f t="shared" si="24"/>
        <v>900</v>
      </c>
      <c r="F529" s="3" t="str">
        <f>PROPER(Table13[[#This Row],[Product Name(RAW)]])</f>
        <v xml:space="preserve">240 Led Strip </v>
      </c>
      <c r="G529" s="3" t="str">
        <f>TEXT(Table13[[#This Row],[Date]],"dddd")</f>
        <v>Sunday</v>
      </c>
      <c r="H529" s="3" t="str">
        <f t="shared" si="22"/>
        <v>Week 4</v>
      </c>
      <c r="I529" s="3" t="str">
        <f t="shared" si="23"/>
        <v>22-28</v>
      </c>
    </row>
    <row r="530" spans="1:9" ht="18.75" x14ac:dyDescent="0.3">
      <c r="A530" s="1">
        <v>46202</v>
      </c>
      <c r="B530" s="2" t="s">
        <v>71</v>
      </c>
      <c r="C530" s="2">
        <v>1</v>
      </c>
      <c r="D530" s="2">
        <v>70</v>
      </c>
      <c r="E530" s="2">
        <v>98</v>
      </c>
      <c r="F530" s="3" t="str">
        <f>PROPER(Table13[[#This Row],[Product Name(RAW)]])</f>
        <v xml:space="preserve">9W Light </v>
      </c>
      <c r="G530" s="3" t="str">
        <f>TEXT(Table13[[#This Row],[Date]],"dddd")</f>
        <v>Monday</v>
      </c>
      <c r="H530" s="3" t="str">
        <f t="shared" si="22"/>
        <v>Week 5</v>
      </c>
      <c r="I530" s="3" t="str">
        <f t="shared" si="23"/>
        <v>29-30</v>
      </c>
    </row>
    <row r="531" spans="1:9" ht="18.75" x14ac:dyDescent="0.3">
      <c r="A531" s="1">
        <v>46202</v>
      </c>
      <c r="B531" s="2" t="s">
        <v>15</v>
      </c>
      <c r="C531" s="2">
        <v>2</v>
      </c>
      <c r="D531" s="2">
        <v>70</v>
      </c>
      <c r="E531" s="2">
        <f>C531*D531</f>
        <v>140</v>
      </c>
      <c r="F531" s="3" t="str">
        <f>PROPER(Table13[[#This Row],[Product Name(RAW)]])</f>
        <v xml:space="preserve">16A Top </v>
      </c>
      <c r="G531" s="3" t="str">
        <f>TEXT(Table13[[#This Row],[Date]],"dddd")</f>
        <v>Monday</v>
      </c>
      <c r="H531" s="3" t="str">
        <f t="shared" si="22"/>
        <v>Week 5</v>
      </c>
      <c r="I531" s="3" t="str">
        <f t="shared" si="23"/>
        <v>29-30</v>
      </c>
    </row>
    <row r="532" spans="1:9" ht="18.75" x14ac:dyDescent="0.3">
      <c r="A532" s="1">
        <v>46202</v>
      </c>
      <c r="B532" s="2" t="s">
        <v>213</v>
      </c>
      <c r="C532" s="2">
        <v>1</v>
      </c>
      <c r="D532" s="2">
        <v>300</v>
      </c>
      <c r="E532" s="2">
        <f>C532*D532</f>
        <v>300</v>
      </c>
      <c r="F532" s="3" t="str">
        <f>PROPER(Table13[[#This Row],[Product Name(RAW)]])</f>
        <v xml:space="preserve">40W Tub Lighjt </v>
      </c>
      <c r="G532" s="3" t="str">
        <f>TEXT(Table13[[#This Row],[Date]],"dddd")</f>
        <v>Monday</v>
      </c>
      <c r="H532" s="3" t="str">
        <f t="shared" si="22"/>
        <v>Week 5</v>
      </c>
      <c r="I532" s="3" t="str">
        <f t="shared" si="23"/>
        <v>29-30</v>
      </c>
    </row>
    <row r="533" spans="1:9" ht="18.75" x14ac:dyDescent="0.3">
      <c r="A533" s="1">
        <v>46202</v>
      </c>
      <c r="B533" s="2" t="s">
        <v>254</v>
      </c>
      <c r="C533" s="2">
        <v>1</v>
      </c>
      <c r="D533" s="2">
        <v>50</v>
      </c>
      <c r="E533" s="2">
        <v>50</v>
      </c>
      <c r="F533" s="3" t="str">
        <f>PROPER(Table13[[#This Row],[Product Name(RAW)]])</f>
        <v xml:space="preserve">3M Pacham </v>
      </c>
      <c r="G533" s="3" t="str">
        <f>TEXT(Table13[[#This Row],[Date]],"dddd")</f>
        <v>Monday</v>
      </c>
      <c r="H533" s="3" t="str">
        <f t="shared" si="22"/>
        <v>Week 5</v>
      </c>
      <c r="I533" s="3" t="str">
        <f t="shared" si="23"/>
        <v>29-30</v>
      </c>
    </row>
    <row r="534" spans="1:9" ht="18.75" x14ac:dyDescent="0.3">
      <c r="A534" s="1">
        <v>46202</v>
      </c>
      <c r="B534" s="2" t="s">
        <v>269</v>
      </c>
      <c r="C534" s="2">
        <v>1</v>
      </c>
      <c r="D534" s="2">
        <v>15</v>
      </c>
      <c r="E534" s="2">
        <f>C534*D534</f>
        <v>15</v>
      </c>
      <c r="F534" s="3" t="str">
        <f>PROPER(Table13[[#This Row],[Product Name(RAW)]])</f>
        <v xml:space="preserve">6A Switch </v>
      </c>
      <c r="G534" s="3" t="str">
        <f>TEXT(Table13[[#This Row],[Date]],"dddd")</f>
        <v>Monday</v>
      </c>
      <c r="H534" s="3" t="str">
        <f t="shared" si="22"/>
        <v>Week 5</v>
      </c>
      <c r="I534" s="3" t="str">
        <f t="shared" si="23"/>
        <v>29-30</v>
      </c>
    </row>
    <row r="535" spans="1:9" ht="18.75" x14ac:dyDescent="0.3">
      <c r="A535" s="1">
        <v>46202</v>
      </c>
      <c r="B535" s="2" t="s">
        <v>92</v>
      </c>
      <c r="C535" s="2">
        <v>1</v>
      </c>
      <c r="D535" s="2">
        <v>35</v>
      </c>
      <c r="E535" s="2">
        <f>C535*D535</f>
        <v>35</v>
      </c>
      <c r="F535" s="3" t="str">
        <f>PROPER(Table13[[#This Row],[Product Name(RAW)]])</f>
        <v xml:space="preserve">6A Plug </v>
      </c>
      <c r="G535" s="3" t="str">
        <f>TEXT(Table13[[#This Row],[Date]],"dddd")</f>
        <v>Monday</v>
      </c>
      <c r="H535" s="3" t="str">
        <f t="shared" si="22"/>
        <v>Week 5</v>
      </c>
      <c r="I535" s="3" t="str">
        <f t="shared" si="23"/>
        <v>29-30</v>
      </c>
    </row>
    <row r="536" spans="1:9" ht="18.75" x14ac:dyDescent="0.3">
      <c r="A536" s="1">
        <v>46202</v>
      </c>
      <c r="B536" s="2" t="s">
        <v>228</v>
      </c>
      <c r="C536" s="2">
        <v>1</v>
      </c>
      <c r="D536" s="2">
        <v>320</v>
      </c>
      <c r="E536" s="2">
        <f>C536*D536</f>
        <v>320</v>
      </c>
      <c r="F536" s="3" t="str">
        <f>PROPER(Table13[[#This Row],[Product Name(RAW)]])</f>
        <v xml:space="preserve">Light Tree Heater </v>
      </c>
      <c r="G536" s="3" t="str">
        <f>TEXT(Table13[[#This Row],[Date]],"dddd")</f>
        <v>Monday</v>
      </c>
      <c r="H536" s="3" t="str">
        <f t="shared" si="22"/>
        <v>Week 5</v>
      </c>
      <c r="I536" s="3" t="str">
        <f t="shared" si="23"/>
        <v>29-30</v>
      </c>
    </row>
    <row r="537" spans="1:9" ht="18.75" x14ac:dyDescent="0.3">
      <c r="A537" s="1">
        <v>46202</v>
      </c>
      <c r="B537" s="2" t="s">
        <v>111</v>
      </c>
      <c r="C537" s="2">
        <v>1</v>
      </c>
      <c r="D537" s="2">
        <v>40</v>
      </c>
      <c r="E537" s="2">
        <v>40</v>
      </c>
      <c r="F537" s="3" t="str">
        <f>PROPER(Table13[[#This Row],[Product Name(RAW)]])</f>
        <v xml:space="preserve">Nita Coil </v>
      </c>
      <c r="G537" s="3" t="str">
        <f>TEXT(Table13[[#This Row],[Date]],"dddd")</f>
        <v>Monday</v>
      </c>
      <c r="H537" s="3" t="str">
        <f t="shared" si="22"/>
        <v>Week 5</v>
      </c>
      <c r="I537" s="3" t="str">
        <f t="shared" si="23"/>
        <v>29-30</v>
      </c>
    </row>
    <row r="538" spans="1:9" ht="18.75" x14ac:dyDescent="0.3">
      <c r="A538" s="1">
        <v>46202</v>
      </c>
      <c r="B538" s="2" t="s">
        <v>228</v>
      </c>
      <c r="C538" s="2">
        <v>1</v>
      </c>
      <c r="D538" s="2">
        <v>320</v>
      </c>
      <c r="E538" s="2">
        <v>320</v>
      </c>
      <c r="F538" s="3" t="str">
        <f>PROPER(Table13[[#This Row],[Product Name(RAW)]])</f>
        <v xml:space="preserve">Light Tree Heater </v>
      </c>
      <c r="G538" s="3" t="str">
        <f>TEXT(Table13[[#This Row],[Date]],"dddd")</f>
        <v>Monday</v>
      </c>
      <c r="H538" s="3" t="str">
        <f t="shared" si="22"/>
        <v>Week 5</v>
      </c>
      <c r="I538" s="3" t="str">
        <f t="shared" si="23"/>
        <v>29-30</v>
      </c>
    </row>
    <row r="539" spans="1:9" ht="18.75" x14ac:dyDescent="0.3">
      <c r="A539" s="1">
        <v>46203</v>
      </c>
      <c r="B539" s="2" t="s">
        <v>6</v>
      </c>
      <c r="C539" s="2">
        <v>1</v>
      </c>
      <c r="D539" s="2">
        <v>160</v>
      </c>
      <c r="E539" s="2">
        <f t="shared" ref="E539:E549" si="25">C539*D539</f>
        <v>160</v>
      </c>
      <c r="F539" s="3" t="str">
        <f>PROPER(Table13[[#This Row],[Product Name(RAW)]])</f>
        <v xml:space="preserve">Cona Ss Com Box </v>
      </c>
      <c r="G539" s="3" t="str">
        <f>TEXT(Table13[[#This Row],[Date]],"dddd")</f>
        <v>Tuesday</v>
      </c>
      <c r="H539" s="3" t="str">
        <f t="shared" si="22"/>
        <v>Week 5</v>
      </c>
      <c r="I539" s="3" t="str">
        <f t="shared" si="23"/>
        <v>29-30</v>
      </c>
    </row>
    <row r="540" spans="1:9" ht="18.75" x14ac:dyDescent="0.3">
      <c r="A540" s="1">
        <v>46203</v>
      </c>
      <c r="B540" s="2" t="s">
        <v>92</v>
      </c>
      <c r="C540" s="2">
        <v>1</v>
      </c>
      <c r="D540" s="2">
        <v>35</v>
      </c>
      <c r="E540" s="2">
        <f t="shared" si="25"/>
        <v>35</v>
      </c>
      <c r="F540" s="3" t="str">
        <f>PROPER(Table13[[#This Row],[Product Name(RAW)]])</f>
        <v xml:space="preserve">6A Plug </v>
      </c>
      <c r="G540" s="3" t="str">
        <f>TEXT(Table13[[#This Row],[Date]],"dddd")</f>
        <v>Tuesday</v>
      </c>
      <c r="H540" s="3" t="str">
        <f t="shared" si="22"/>
        <v>Week 5</v>
      </c>
      <c r="I540" s="3" t="str">
        <f t="shared" si="23"/>
        <v>29-30</v>
      </c>
    </row>
    <row r="541" spans="1:9" ht="18.75" x14ac:dyDescent="0.3">
      <c r="A541" s="1">
        <v>46203</v>
      </c>
      <c r="B541" s="2" t="s">
        <v>255</v>
      </c>
      <c r="C541" s="2">
        <v>1</v>
      </c>
      <c r="D541" s="2">
        <v>15</v>
      </c>
      <c r="E541" s="2">
        <f t="shared" si="25"/>
        <v>15</v>
      </c>
      <c r="F541" s="3" t="str">
        <f>PROPER(Table13[[#This Row],[Product Name(RAW)]])</f>
        <v>Adaptor</v>
      </c>
      <c r="G541" s="3" t="str">
        <f>TEXT(Table13[[#This Row],[Date]],"dddd")</f>
        <v>Tuesday</v>
      </c>
      <c r="H541" s="3" t="str">
        <f t="shared" si="22"/>
        <v>Week 5</v>
      </c>
      <c r="I541" s="3" t="str">
        <f t="shared" si="23"/>
        <v>29-30</v>
      </c>
    </row>
    <row r="542" spans="1:9" ht="18.75" x14ac:dyDescent="0.3">
      <c r="A542" s="1">
        <v>46203</v>
      </c>
      <c r="B542" s="2" t="s">
        <v>256</v>
      </c>
      <c r="C542" s="2">
        <v>3</v>
      </c>
      <c r="D542" s="2">
        <v>35</v>
      </c>
      <c r="E542" s="2">
        <f t="shared" si="25"/>
        <v>105</v>
      </c>
      <c r="F542" s="3" t="str">
        <f>PROPER(Table13[[#This Row],[Product Name(RAW)]])</f>
        <v xml:space="preserve">Sada Plug </v>
      </c>
      <c r="G542" s="3" t="str">
        <f>TEXT(Table13[[#This Row],[Date]],"dddd")</f>
        <v>Tuesday</v>
      </c>
      <c r="H542" s="3" t="str">
        <f t="shared" si="22"/>
        <v>Week 5</v>
      </c>
      <c r="I542" s="3" t="str">
        <f t="shared" si="23"/>
        <v>29-30</v>
      </c>
    </row>
    <row r="543" spans="1:9" ht="18.75" x14ac:dyDescent="0.3">
      <c r="A543" s="1">
        <v>46203</v>
      </c>
      <c r="B543" s="2" t="s">
        <v>97</v>
      </c>
      <c r="C543" s="2">
        <v>3</v>
      </c>
      <c r="D543" s="2">
        <v>15</v>
      </c>
      <c r="E543" s="2">
        <f t="shared" si="25"/>
        <v>45</v>
      </c>
      <c r="F543" s="3" t="str">
        <f>PROPER(Table13[[#This Row],[Product Name(RAW)]])</f>
        <v xml:space="preserve">Sada Switch </v>
      </c>
      <c r="G543" s="3" t="str">
        <f>TEXT(Table13[[#This Row],[Date]],"dddd")</f>
        <v>Tuesday</v>
      </c>
      <c r="H543" s="3" t="str">
        <f t="shared" si="22"/>
        <v>Week 5</v>
      </c>
      <c r="I543" s="3" t="str">
        <f t="shared" si="23"/>
        <v>29-30</v>
      </c>
    </row>
    <row r="544" spans="1:9" ht="18.75" x14ac:dyDescent="0.3">
      <c r="A544" s="1">
        <v>46203</v>
      </c>
      <c r="B544" s="2" t="s">
        <v>72</v>
      </c>
      <c r="C544" s="2">
        <v>1</v>
      </c>
      <c r="D544" s="2">
        <v>120</v>
      </c>
      <c r="E544" s="2">
        <f t="shared" si="25"/>
        <v>120</v>
      </c>
      <c r="F544" s="3" t="str">
        <f>PROPER(Table13[[#This Row],[Product Name(RAW)]])</f>
        <v xml:space="preserve">20W Tub Light </v>
      </c>
      <c r="G544" s="3" t="str">
        <f>TEXT(Table13[[#This Row],[Date]],"dddd")</f>
        <v>Tuesday</v>
      </c>
      <c r="H544" s="3" t="str">
        <f t="shared" si="22"/>
        <v>Week 5</v>
      </c>
      <c r="I544" s="3" t="str">
        <f t="shared" si="23"/>
        <v>29-30</v>
      </c>
    </row>
    <row r="545" spans="1:9" ht="18.75" x14ac:dyDescent="0.3">
      <c r="A545" s="1">
        <v>46203</v>
      </c>
      <c r="B545" s="2" t="s">
        <v>257</v>
      </c>
      <c r="C545" s="2">
        <v>1</v>
      </c>
      <c r="D545" s="2">
        <v>80</v>
      </c>
      <c r="E545" s="2">
        <f t="shared" si="25"/>
        <v>80</v>
      </c>
      <c r="F545" s="3" t="str">
        <f>PROPER(Table13[[#This Row],[Product Name(RAW)]])</f>
        <v>8M Panchm</v>
      </c>
      <c r="G545" s="3" t="str">
        <f>TEXT(Table13[[#This Row],[Date]],"dddd")</f>
        <v>Tuesday</v>
      </c>
      <c r="H545" s="3" t="str">
        <f t="shared" si="22"/>
        <v>Week 5</v>
      </c>
      <c r="I545" s="3" t="str">
        <f t="shared" si="23"/>
        <v>29-30</v>
      </c>
    </row>
    <row r="546" spans="1:9" ht="18.75" x14ac:dyDescent="0.3">
      <c r="A546" s="1">
        <v>46203</v>
      </c>
      <c r="B546" s="2" t="s">
        <v>269</v>
      </c>
      <c r="C546" s="2">
        <v>3</v>
      </c>
      <c r="D546" s="2">
        <v>15</v>
      </c>
      <c r="E546" s="2">
        <f t="shared" si="25"/>
        <v>45</v>
      </c>
      <c r="F546" s="3" t="str">
        <f>PROPER(Table13[[#This Row],[Product Name(RAW)]])</f>
        <v xml:space="preserve">6A Switch </v>
      </c>
      <c r="G546" s="3" t="str">
        <f>TEXT(Table13[[#This Row],[Date]],"dddd")</f>
        <v>Tuesday</v>
      </c>
      <c r="H546" s="3" t="str">
        <f t="shared" si="22"/>
        <v>Week 5</v>
      </c>
      <c r="I546" s="3" t="str">
        <f t="shared" si="23"/>
        <v>29-30</v>
      </c>
    </row>
    <row r="547" spans="1:9" ht="18.75" x14ac:dyDescent="0.3">
      <c r="A547" s="1">
        <v>46203</v>
      </c>
      <c r="B547" s="2" t="s">
        <v>92</v>
      </c>
      <c r="C547" s="2">
        <v>2</v>
      </c>
      <c r="D547" s="2">
        <v>35</v>
      </c>
      <c r="E547" s="2">
        <f t="shared" si="25"/>
        <v>70</v>
      </c>
      <c r="F547" s="3" t="str">
        <f>PROPER(Table13[[#This Row],[Product Name(RAW)]])</f>
        <v xml:space="preserve">6A Plug </v>
      </c>
      <c r="G547" s="3" t="str">
        <f>TEXT(Table13[[#This Row],[Date]],"dddd")</f>
        <v>Tuesday</v>
      </c>
      <c r="H547" s="3" t="str">
        <f t="shared" si="22"/>
        <v>Week 5</v>
      </c>
      <c r="I547" s="3" t="str">
        <f t="shared" si="23"/>
        <v>29-30</v>
      </c>
    </row>
    <row r="548" spans="1:9" ht="18.75" x14ac:dyDescent="0.3">
      <c r="A548" s="1">
        <v>46203</v>
      </c>
      <c r="B548" s="2" t="s">
        <v>258</v>
      </c>
      <c r="C548" s="2">
        <v>1</v>
      </c>
      <c r="D548" s="2">
        <v>35</v>
      </c>
      <c r="E548" s="2">
        <f t="shared" si="25"/>
        <v>35</v>
      </c>
      <c r="F548" s="3" t="str">
        <f>PROPER(Table13[[#This Row],[Product Name(RAW)]])</f>
        <v xml:space="preserve">2Pin Plug </v>
      </c>
      <c r="G548" s="3" t="str">
        <f>TEXT(Table13[[#This Row],[Date]],"dddd")</f>
        <v>Tuesday</v>
      </c>
      <c r="H548" s="3" t="str">
        <f t="shared" si="22"/>
        <v>Week 5</v>
      </c>
      <c r="I548" s="3" t="str">
        <f t="shared" si="23"/>
        <v>29-30</v>
      </c>
    </row>
    <row r="549" spans="1:9" ht="18.75" x14ac:dyDescent="0.3">
      <c r="A549" s="1">
        <v>46203</v>
      </c>
      <c r="B549" s="2" t="s">
        <v>226</v>
      </c>
      <c r="C549" s="2">
        <v>8</v>
      </c>
      <c r="D549" s="2">
        <v>15</v>
      </c>
      <c r="E549" s="2">
        <f t="shared" si="25"/>
        <v>120</v>
      </c>
      <c r="F549" s="3" t="str">
        <f>PROPER(Table13[[#This Row],[Product Name(RAW)]])</f>
        <v xml:space="preserve">4Mm Ss Wire </v>
      </c>
      <c r="G549" s="3" t="str">
        <f>TEXT(Table13[[#This Row],[Date]],"dddd")</f>
        <v>Tuesday</v>
      </c>
      <c r="H549" s="3" t="str">
        <f t="shared" si="22"/>
        <v>Week 5</v>
      </c>
      <c r="I549" s="3" t="str">
        <f t="shared" si="23"/>
        <v>29-30</v>
      </c>
    </row>
    <row r="550" spans="1:9" ht="18.75" x14ac:dyDescent="0.3">
      <c r="A550" s="1">
        <v>46203</v>
      </c>
      <c r="B550" s="2" t="s">
        <v>195</v>
      </c>
      <c r="C550" s="2">
        <v>5</v>
      </c>
      <c r="D550" s="2">
        <v>28</v>
      </c>
      <c r="E550" s="2">
        <v>140</v>
      </c>
      <c r="F550" s="3" t="str">
        <f>PROPER(Table13[[#This Row],[Product Name(RAW)]])</f>
        <v xml:space="preserve">1.5 Mm Rr </v>
      </c>
      <c r="G550" s="3" t="str">
        <f>TEXT(Table13[[#This Row],[Date]],"dddd")</f>
        <v>Tuesday</v>
      </c>
      <c r="H550" s="3" t="str">
        <f t="shared" si="22"/>
        <v>Week 5</v>
      </c>
      <c r="I550" s="3" t="str">
        <f t="shared" si="23"/>
        <v>29-30</v>
      </c>
    </row>
    <row r="551" spans="1:9" ht="18.75" x14ac:dyDescent="0.3">
      <c r="A551" s="1">
        <v>46203</v>
      </c>
      <c r="B551" s="2" t="s">
        <v>259</v>
      </c>
      <c r="C551" s="2">
        <v>1</v>
      </c>
      <c r="D551" s="2">
        <v>50</v>
      </c>
      <c r="E551" s="2">
        <f>C551*D551</f>
        <v>50</v>
      </c>
      <c r="F551" s="3" t="str">
        <f>PROPER(Table13[[#This Row],[Product Name(RAW)]])</f>
        <v>3M Sarface Box</v>
      </c>
      <c r="G551" s="3" t="str">
        <f>TEXT(Table13[[#This Row],[Date]],"dddd")</f>
        <v>Tuesday</v>
      </c>
      <c r="H551" s="3" t="str">
        <f t="shared" si="22"/>
        <v>Week 5</v>
      </c>
      <c r="I551" s="3" t="str">
        <f t="shared" si="23"/>
        <v>29-30</v>
      </c>
    </row>
    <row r="552" spans="1:9" ht="18.75" x14ac:dyDescent="0.3">
      <c r="A552" s="1">
        <v>46203</v>
      </c>
      <c r="B552" s="2" t="s">
        <v>260</v>
      </c>
      <c r="C552" s="2">
        <v>1</v>
      </c>
      <c r="D552" s="2">
        <v>50</v>
      </c>
      <c r="E552" s="2">
        <f>C552*D552</f>
        <v>50</v>
      </c>
      <c r="F552" s="3" t="str">
        <f>PROPER(Table13[[#This Row],[Product Name(RAW)]])</f>
        <v xml:space="preserve">3M Plate Jiva </v>
      </c>
      <c r="G552" s="3" t="str">
        <f>TEXT(Table13[[#This Row],[Date]],"dddd")</f>
        <v>Tuesday</v>
      </c>
      <c r="H552" s="3" t="str">
        <f t="shared" si="22"/>
        <v>Week 5</v>
      </c>
      <c r="I552" s="3" t="str">
        <f t="shared" si="23"/>
        <v>29-30</v>
      </c>
    </row>
    <row r="553" spans="1:9" ht="18.75" x14ac:dyDescent="0.3">
      <c r="A553" s="1">
        <v>46203</v>
      </c>
      <c r="B553" s="2" t="s">
        <v>62</v>
      </c>
      <c r="C553" s="2">
        <v>1</v>
      </c>
      <c r="D553" s="2">
        <v>80</v>
      </c>
      <c r="E553" s="2">
        <f>C553*D553</f>
        <v>80</v>
      </c>
      <c r="F553" s="3" t="str">
        <f>PROPER(Table13[[#This Row],[Product Name(RAW)]])</f>
        <v xml:space="preserve">16A Plug Jiva </v>
      </c>
      <c r="G553" s="3" t="str">
        <f>TEXT(Table13[[#This Row],[Date]],"dddd")</f>
        <v>Tuesday</v>
      </c>
      <c r="H553" s="3" t="str">
        <f t="shared" si="22"/>
        <v>Week 5</v>
      </c>
      <c r="I553" s="3" t="str">
        <f t="shared" si="23"/>
        <v>29-30</v>
      </c>
    </row>
    <row r="554" spans="1:9" ht="18.75" x14ac:dyDescent="0.3">
      <c r="A554" s="1">
        <v>46203</v>
      </c>
      <c r="B554" s="2" t="s">
        <v>261</v>
      </c>
      <c r="C554" s="2">
        <v>1</v>
      </c>
      <c r="D554" s="2">
        <v>40</v>
      </c>
      <c r="E554" s="2">
        <f>C554*D554</f>
        <v>40</v>
      </c>
      <c r="F554" s="3" t="str">
        <f>PROPER(Table13[[#This Row],[Product Name(RAW)]])</f>
        <v>Indicator</v>
      </c>
      <c r="G554" s="3" t="str">
        <f>TEXT(Table13[[#This Row],[Date]],"dddd")</f>
        <v>Tuesday</v>
      </c>
      <c r="H554" s="3" t="str">
        <f t="shared" si="22"/>
        <v>Week 5</v>
      </c>
      <c r="I554" s="3" t="str">
        <f t="shared" si="23"/>
        <v>29-30</v>
      </c>
    </row>
    <row r="555" spans="1:9" ht="18.75" x14ac:dyDescent="0.3">
      <c r="A555" s="1">
        <v>46203</v>
      </c>
      <c r="B555" s="2" t="s">
        <v>262</v>
      </c>
      <c r="C555" s="2">
        <v>1</v>
      </c>
      <c r="D555" s="2">
        <v>1600</v>
      </c>
      <c r="E555" s="2">
        <v>1600</v>
      </c>
      <c r="F555" s="3" t="str">
        <f>PROPER(Table13[[#This Row],[Product Name(RAW)]])</f>
        <v xml:space="preserve">Crompton Fan </v>
      </c>
      <c r="G555" s="3" t="str">
        <f>TEXT(Table13[[#This Row],[Date]],"dddd")</f>
        <v>Tuesday</v>
      </c>
      <c r="H555" s="3" t="str">
        <f t="shared" si="22"/>
        <v>Week 5</v>
      </c>
      <c r="I555" s="3" t="str">
        <f t="shared" si="23"/>
        <v>29-30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863F-DE9D-49FF-BDD0-D86BC5DBEE49}">
  <dimension ref="A4:N33"/>
  <sheetViews>
    <sheetView topLeftCell="A3" zoomScale="105" zoomScaleNormal="105" workbookViewId="0">
      <selection activeCell="C3" sqref="C3"/>
    </sheetView>
  </sheetViews>
  <sheetFormatPr defaultRowHeight="15" x14ac:dyDescent="0.25"/>
  <cols>
    <col min="1" max="1" width="11.5703125" bestFit="1" customWidth="1"/>
    <col min="2" max="2" width="12.42578125" bestFit="1" customWidth="1"/>
    <col min="4" max="4" width="17.85546875" bestFit="1" customWidth="1"/>
    <col min="5" max="6" width="12" bestFit="1" customWidth="1"/>
    <col min="7" max="7" width="16.7109375" bestFit="1" customWidth="1"/>
    <col min="8" max="8" width="15.85546875" bestFit="1" customWidth="1"/>
    <col min="10" max="10" width="12.7109375" bestFit="1" customWidth="1"/>
    <col min="11" max="11" width="12.42578125" bestFit="1" customWidth="1"/>
    <col min="12" max="12" width="12" bestFit="1" customWidth="1"/>
    <col min="13" max="13" width="11.28515625" bestFit="1" customWidth="1"/>
    <col min="14" max="14" width="12" bestFit="1" customWidth="1"/>
    <col min="16" max="18" width="12.28515625" bestFit="1" customWidth="1"/>
  </cols>
  <sheetData>
    <row r="4" spans="1:14" ht="18.75" x14ac:dyDescent="0.3">
      <c r="A4" s="15" t="s">
        <v>297</v>
      </c>
      <c r="B4" s="15"/>
      <c r="D4" s="15" t="s">
        <v>298</v>
      </c>
      <c r="E4" s="15"/>
      <c r="G4" s="15" t="s">
        <v>317</v>
      </c>
      <c r="H4" s="15"/>
      <c r="J4" s="15" t="s">
        <v>308</v>
      </c>
      <c r="K4" s="15"/>
      <c r="M4" s="15" t="s">
        <v>318</v>
      </c>
      <c r="N4" s="15"/>
    </row>
    <row r="5" spans="1:14" x14ac:dyDescent="0.25">
      <c r="A5" s="9" t="s">
        <v>0</v>
      </c>
      <c r="B5" t="s">
        <v>265</v>
      </c>
      <c r="D5" s="9" t="s">
        <v>264</v>
      </c>
      <c r="E5" t="s">
        <v>265</v>
      </c>
      <c r="G5" s="9" t="s">
        <v>264</v>
      </c>
      <c r="H5" t="s">
        <v>300</v>
      </c>
      <c r="J5" s="9" t="s">
        <v>309</v>
      </c>
      <c r="K5" t="s">
        <v>265</v>
      </c>
      <c r="M5" s="9" t="s">
        <v>310</v>
      </c>
      <c r="N5" t="s">
        <v>265</v>
      </c>
    </row>
    <row r="6" spans="1:14" x14ac:dyDescent="0.25">
      <c r="A6" s="11">
        <v>46174</v>
      </c>
      <c r="B6">
        <v>5620</v>
      </c>
      <c r="D6" s="10" t="s">
        <v>277</v>
      </c>
      <c r="E6" s="16">
        <v>4740</v>
      </c>
      <c r="G6" s="10" t="s">
        <v>278</v>
      </c>
      <c r="H6">
        <v>53</v>
      </c>
      <c r="J6" s="10" t="s">
        <v>302</v>
      </c>
      <c r="K6">
        <v>44804</v>
      </c>
      <c r="M6" s="10" t="s">
        <v>313</v>
      </c>
      <c r="N6" s="16">
        <v>96841</v>
      </c>
    </row>
    <row r="7" spans="1:14" x14ac:dyDescent="0.25">
      <c r="A7" s="11">
        <v>46175</v>
      </c>
      <c r="B7">
        <v>3980</v>
      </c>
      <c r="D7" s="10" t="s">
        <v>281</v>
      </c>
      <c r="E7" s="16">
        <v>4970</v>
      </c>
      <c r="G7" s="10" t="s">
        <v>291</v>
      </c>
      <c r="H7">
        <v>59</v>
      </c>
      <c r="J7" s="10" t="s">
        <v>305</v>
      </c>
      <c r="K7">
        <v>15597</v>
      </c>
      <c r="M7" s="10" t="s">
        <v>311</v>
      </c>
      <c r="N7" s="16">
        <v>63792.800000000003</v>
      </c>
    </row>
    <row r="8" spans="1:14" x14ac:dyDescent="0.25">
      <c r="A8" s="11">
        <v>46176</v>
      </c>
      <c r="B8">
        <v>5910</v>
      </c>
      <c r="D8" s="10" t="s">
        <v>292</v>
      </c>
      <c r="E8" s="16">
        <v>5890</v>
      </c>
      <c r="G8" s="10" t="s">
        <v>284</v>
      </c>
      <c r="H8">
        <v>72</v>
      </c>
      <c r="J8" s="10" t="s">
        <v>303</v>
      </c>
      <c r="K8">
        <v>45930</v>
      </c>
      <c r="M8" s="10" t="s">
        <v>312</v>
      </c>
      <c r="N8" s="16">
        <v>58063</v>
      </c>
    </row>
    <row r="9" spans="1:14" x14ac:dyDescent="0.25">
      <c r="A9" s="11">
        <v>46177</v>
      </c>
      <c r="B9">
        <v>7715.8</v>
      </c>
      <c r="D9" s="10" t="s">
        <v>280</v>
      </c>
      <c r="E9" s="16">
        <v>6900</v>
      </c>
      <c r="G9" s="10" t="s">
        <v>295</v>
      </c>
      <c r="H9">
        <v>84</v>
      </c>
      <c r="J9" s="10" t="s">
        <v>304</v>
      </c>
      <c r="K9">
        <v>26625</v>
      </c>
      <c r="M9" s="10" t="s">
        <v>314</v>
      </c>
      <c r="N9" s="16">
        <v>45026</v>
      </c>
    </row>
    <row r="10" spans="1:14" x14ac:dyDescent="0.25">
      <c r="A10" s="11">
        <v>46178</v>
      </c>
      <c r="B10">
        <v>6850</v>
      </c>
      <c r="D10" s="10" t="s">
        <v>285</v>
      </c>
      <c r="E10" s="16">
        <v>7300</v>
      </c>
      <c r="G10" s="10" t="s">
        <v>290</v>
      </c>
      <c r="H10">
        <v>90</v>
      </c>
      <c r="J10" s="10" t="s">
        <v>301</v>
      </c>
      <c r="K10">
        <v>79882.8</v>
      </c>
      <c r="M10" s="10" t="s">
        <v>315</v>
      </c>
      <c r="N10" s="16">
        <v>4108</v>
      </c>
    </row>
    <row r="11" spans="1:14" x14ac:dyDescent="0.25">
      <c r="A11" s="11">
        <v>46179</v>
      </c>
      <c r="B11">
        <v>1855</v>
      </c>
      <c r="D11" s="10" t="s">
        <v>294</v>
      </c>
      <c r="E11" s="16">
        <v>7400</v>
      </c>
      <c r="G11" s="10" t="s">
        <v>287</v>
      </c>
      <c r="H11">
        <v>99</v>
      </c>
      <c r="J11" s="10" t="s">
        <v>307</v>
      </c>
      <c r="K11">
        <v>31066</v>
      </c>
      <c r="M11" s="10" t="s">
        <v>263</v>
      </c>
      <c r="N11" s="16">
        <v>267830.8</v>
      </c>
    </row>
    <row r="12" spans="1:14" x14ac:dyDescent="0.25">
      <c r="A12" s="11">
        <v>46180</v>
      </c>
      <c r="B12">
        <v>31862</v>
      </c>
      <c r="D12" s="10" t="s">
        <v>293</v>
      </c>
      <c r="E12" s="16">
        <v>11050</v>
      </c>
      <c r="G12" s="10" t="s">
        <v>282</v>
      </c>
      <c r="H12">
        <v>105</v>
      </c>
      <c r="J12" s="10" t="s">
        <v>306</v>
      </c>
      <c r="K12">
        <v>23926</v>
      </c>
    </row>
    <row r="13" spans="1:14" x14ac:dyDescent="0.25">
      <c r="A13" s="11">
        <v>46181</v>
      </c>
      <c r="B13">
        <v>1839</v>
      </c>
      <c r="D13" s="10" t="s">
        <v>279</v>
      </c>
      <c r="E13" s="16">
        <v>11780</v>
      </c>
      <c r="G13" s="10" t="s">
        <v>286</v>
      </c>
      <c r="H13">
        <v>115</v>
      </c>
      <c r="J13" s="10" t="s">
        <v>263</v>
      </c>
      <c r="K13">
        <v>267830.8</v>
      </c>
    </row>
    <row r="14" spans="1:14" x14ac:dyDescent="0.25">
      <c r="A14" s="11">
        <v>46184</v>
      </c>
      <c r="B14">
        <v>37610</v>
      </c>
      <c r="D14" s="10" t="s">
        <v>283</v>
      </c>
      <c r="E14" s="16">
        <v>21900</v>
      </c>
      <c r="G14" s="10" t="s">
        <v>288</v>
      </c>
      <c r="H14">
        <v>126</v>
      </c>
    </row>
    <row r="15" spans="1:14" x14ac:dyDescent="0.25">
      <c r="A15" s="11">
        <v>46185</v>
      </c>
      <c r="B15">
        <v>7470</v>
      </c>
      <c r="D15" s="10" t="s">
        <v>276</v>
      </c>
      <c r="E15" s="16">
        <v>37254</v>
      </c>
      <c r="G15" s="10" t="s">
        <v>289</v>
      </c>
      <c r="H15">
        <v>189</v>
      </c>
    </row>
    <row r="16" spans="1:14" x14ac:dyDescent="0.25">
      <c r="A16" s="11">
        <v>46186</v>
      </c>
      <c r="B16">
        <v>1209</v>
      </c>
      <c r="D16" s="10" t="s">
        <v>263</v>
      </c>
      <c r="E16" s="16">
        <v>119184</v>
      </c>
      <c r="G16" s="10" t="s">
        <v>263</v>
      </c>
      <c r="H16">
        <v>992</v>
      </c>
    </row>
    <row r="17" spans="1:4" x14ac:dyDescent="0.25">
      <c r="A17" s="11">
        <v>46187</v>
      </c>
      <c r="B17">
        <v>9935</v>
      </c>
    </row>
    <row r="18" spans="1:4" x14ac:dyDescent="0.25">
      <c r="A18" s="11">
        <v>46188</v>
      </c>
      <c r="B18">
        <v>1630</v>
      </c>
    </row>
    <row r="19" spans="1:4" x14ac:dyDescent="0.25">
      <c r="A19" s="11">
        <v>46189</v>
      </c>
      <c r="B19">
        <v>26455</v>
      </c>
      <c r="D19" t="s">
        <v>319</v>
      </c>
    </row>
    <row r="20" spans="1:4" x14ac:dyDescent="0.25">
      <c r="A20" s="11">
        <v>46190</v>
      </c>
      <c r="B20">
        <v>18080</v>
      </c>
      <c r="D20" s="16">
        <v>267830.8</v>
      </c>
    </row>
    <row r="21" spans="1:4" x14ac:dyDescent="0.25">
      <c r="A21" s="11">
        <v>46191</v>
      </c>
      <c r="B21">
        <v>33782</v>
      </c>
    </row>
    <row r="22" spans="1:4" x14ac:dyDescent="0.25">
      <c r="A22" s="11">
        <v>46192</v>
      </c>
      <c r="B22">
        <v>1150</v>
      </c>
    </row>
    <row r="23" spans="1:4" x14ac:dyDescent="0.25">
      <c r="A23" s="11">
        <v>46193</v>
      </c>
      <c r="B23">
        <v>15744</v>
      </c>
    </row>
    <row r="24" spans="1:4" x14ac:dyDescent="0.25">
      <c r="A24" s="11">
        <v>46195</v>
      </c>
      <c r="B24">
        <v>5190</v>
      </c>
    </row>
    <row r="25" spans="1:4" x14ac:dyDescent="0.25">
      <c r="A25" s="11">
        <v>46196</v>
      </c>
      <c r="B25">
        <v>12705</v>
      </c>
    </row>
    <row r="26" spans="1:4" x14ac:dyDescent="0.25">
      <c r="A26" s="11">
        <v>46197</v>
      </c>
      <c r="B26">
        <v>2635</v>
      </c>
    </row>
    <row r="27" spans="1:4" x14ac:dyDescent="0.25">
      <c r="A27" s="11">
        <v>46198</v>
      </c>
      <c r="B27">
        <v>775</v>
      </c>
    </row>
    <row r="28" spans="1:4" x14ac:dyDescent="0.25">
      <c r="A28" s="11">
        <v>46199</v>
      </c>
      <c r="B28">
        <v>15596</v>
      </c>
    </row>
    <row r="29" spans="1:4" x14ac:dyDescent="0.25">
      <c r="A29" s="11">
        <v>46200</v>
      </c>
      <c r="B29">
        <v>5118</v>
      </c>
    </row>
    <row r="30" spans="1:4" x14ac:dyDescent="0.25">
      <c r="A30" s="11">
        <v>46201</v>
      </c>
      <c r="B30">
        <v>3007</v>
      </c>
    </row>
    <row r="31" spans="1:4" x14ac:dyDescent="0.25">
      <c r="A31" s="11">
        <v>46202</v>
      </c>
      <c r="B31">
        <v>1318</v>
      </c>
    </row>
    <row r="32" spans="1:4" x14ac:dyDescent="0.25">
      <c r="A32" s="11">
        <v>46203</v>
      </c>
      <c r="B32">
        <v>2790</v>
      </c>
    </row>
    <row r="33" spans="1:2" x14ac:dyDescent="0.25">
      <c r="A33" s="10" t="s">
        <v>263</v>
      </c>
      <c r="B33">
        <v>267830.8</v>
      </c>
    </row>
  </sheetData>
  <mergeCells count="5">
    <mergeCell ref="A4:B4"/>
    <mergeCell ref="D4:E4"/>
    <mergeCell ref="G4:H4"/>
    <mergeCell ref="J4:K4"/>
    <mergeCell ref="M4:N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7CB8-AD9E-4674-AFD4-7055C739F3DB}">
  <dimension ref="A1:Z2"/>
  <sheetViews>
    <sheetView showGridLines="0" tabSelected="1" topLeftCell="A4" zoomScale="86" workbookViewId="0">
      <selection activeCell="U5" sqref="U5"/>
    </sheetView>
  </sheetViews>
  <sheetFormatPr defaultRowHeight="15" x14ac:dyDescent="0.25"/>
  <sheetData>
    <row r="1" spans="1:26" x14ac:dyDescent="0.25">
      <c r="A1" s="13" t="s">
        <v>321</v>
      </c>
      <c r="B1" s="13"/>
      <c r="C1" s="13"/>
      <c r="D1" s="13"/>
      <c r="E1" s="13"/>
      <c r="F1" s="13"/>
      <c r="G1" s="13"/>
      <c r="H1" s="13"/>
      <c r="I1" s="13"/>
      <c r="J1" s="13"/>
      <c r="K1" s="13"/>
      <c r="L1" s="13"/>
      <c r="M1" s="13"/>
      <c r="N1" s="13"/>
      <c r="O1" s="13"/>
      <c r="P1" s="13"/>
      <c r="Q1" s="13"/>
      <c r="R1" s="13"/>
      <c r="S1" s="13"/>
      <c r="T1" s="13"/>
      <c r="U1" s="13"/>
      <c r="V1" s="14"/>
      <c r="W1" s="14"/>
      <c r="X1" s="14"/>
      <c r="Y1" s="14"/>
      <c r="Z1" s="14"/>
    </row>
    <row r="2" spans="1:26" x14ac:dyDescent="0.25">
      <c r="A2" s="13"/>
      <c r="B2" s="13"/>
      <c r="C2" s="13"/>
      <c r="D2" s="13"/>
      <c r="E2" s="13"/>
      <c r="F2" s="13"/>
      <c r="G2" s="13"/>
      <c r="H2" s="13"/>
      <c r="I2" s="13"/>
      <c r="J2" s="13"/>
      <c r="K2" s="13"/>
      <c r="L2" s="13"/>
      <c r="M2" s="13"/>
      <c r="N2" s="13"/>
      <c r="O2" s="13"/>
      <c r="P2" s="13"/>
      <c r="Q2" s="13"/>
      <c r="R2" s="13"/>
      <c r="S2" s="13"/>
      <c r="T2" s="13"/>
      <c r="U2" s="13"/>
      <c r="V2" s="14"/>
      <c r="W2" s="14"/>
      <c r="X2" s="14"/>
      <c r="Y2" s="14"/>
      <c r="Z2" s="14"/>
    </row>
  </sheetData>
  <mergeCells count="2">
    <mergeCell ref="A1:U2"/>
    <mergeCell ref="V1:Z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3FB7540-6054-488F-AFC5-0C3343116717}">
  <ds:schemaRefs/>
</ds:datastoreItem>
</file>

<file path=customXml/itemProps2.xml><?xml version="1.0" encoding="utf-8"?>
<ds:datastoreItem xmlns:ds="http://schemas.openxmlformats.org/officeDocument/2006/customXml" ds:itemID="{0D9BD65C-CFEE-49CA-B665-9D6DD02F7BE6}">
  <ds:schemaRefs/>
</ds:datastoreItem>
</file>

<file path=customXml/itemProps3.xml><?xml version="1.0" encoding="utf-8"?>
<ds:datastoreItem xmlns:ds="http://schemas.openxmlformats.org/officeDocument/2006/customXml" ds:itemID="{2D5A836E-7516-433C-AEAE-D8B520B3EAF2}">
  <ds:schemaRefs/>
</ds:datastoreItem>
</file>

<file path=customXml/itemProps4.xml><?xml version="1.0" encoding="utf-8"?>
<ds:datastoreItem xmlns:ds="http://schemas.openxmlformats.org/officeDocument/2006/customXml" ds:itemID="{1C5EA924-23C6-49A9-ACBD-05E3DC632E9E}">
  <ds:schemaRefs/>
</ds:datastoreItem>
</file>

<file path=customXml/itemProps5.xml><?xml version="1.0" encoding="utf-8"?>
<ds:datastoreItem xmlns:ds="http://schemas.openxmlformats.org/officeDocument/2006/customXml" ds:itemID="{D776176A-7F3C-46DC-969C-500C1C215087}">
  <ds:schemaRefs/>
</ds:datastoreItem>
</file>

<file path=customXml/itemProps6.xml><?xml version="1.0" encoding="utf-8"?>
<ds:datastoreItem xmlns:ds="http://schemas.openxmlformats.org/officeDocument/2006/customXml" ds:itemID="{E445E399-792D-4DA2-A9E8-322475AF5B14}">
  <ds:schemaRefs/>
</ds:datastoreItem>
</file>

<file path=customXml/itemProps7.xml><?xml version="1.0" encoding="utf-8"?>
<ds:datastoreItem xmlns:ds="http://schemas.openxmlformats.org/officeDocument/2006/customXml" ds:itemID="{C3D46ECA-CDC9-4643-9D69-2B4912C1D426}">
  <ds:schemaRefs/>
</ds:datastoreItem>
</file>

<file path=customXml/itemProps8.xml><?xml version="1.0" encoding="utf-8"?>
<ds:datastoreItem xmlns:ds="http://schemas.openxmlformats.org/officeDocument/2006/customXml" ds:itemID="{9B103F1C-F6B8-41BB-81ED-EA2E875096D3}">
  <ds:schemaRefs/>
</ds:datastoreItem>
</file>

<file path=customXml/itemProps9.xml><?xml version="1.0" encoding="utf-8"?>
<ds:datastoreItem xmlns:ds="http://schemas.openxmlformats.org/officeDocument/2006/customXml" ds:itemID="{1CBECA11-0296-436E-B3C2-626124B1E3AC}">
  <ds:schemaRefs/>
</ds:datastoreItem>
</file>

<file path=customXml/itemProps10.xml><?xml version="1.0" encoding="utf-8"?>
<ds:datastoreItem xmlns:ds="http://schemas.openxmlformats.org/officeDocument/2006/customXml" ds:itemID="{B76BFE26-3808-4CAF-855F-B008CB2E6426}">
  <ds:schemaRefs/>
</ds:datastoreItem>
</file>

<file path=customXml/itemProps11.xml><?xml version="1.0" encoding="utf-8"?>
<ds:datastoreItem xmlns:ds="http://schemas.openxmlformats.org/officeDocument/2006/customXml" ds:itemID="{711AACE9-0EF6-4A12-BE23-947BA2E61898}">
  <ds:schemaRefs/>
</ds:datastoreItem>
</file>

<file path=customXml/itemProps12.xml><?xml version="1.0" encoding="utf-8"?>
<ds:datastoreItem xmlns:ds="http://schemas.openxmlformats.org/officeDocument/2006/customXml" ds:itemID="{3236D3D1-6EA8-46B1-92A2-0AD5A3BC0389}">
  <ds:schemaRefs/>
</ds:datastoreItem>
</file>

<file path=customXml/itemProps13.xml><?xml version="1.0" encoding="utf-8"?>
<ds:datastoreItem xmlns:ds="http://schemas.openxmlformats.org/officeDocument/2006/customXml" ds:itemID="{E66FC40A-B74B-4829-9828-8CA09888BBC7}">
  <ds:schemaRefs/>
</ds:datastoreItem>
</file>

<file path=customXml/itemProps14.xml><?xml version="1.0" encoding="utf-8"?>
<ds:datastoreItem xmlns:ds="http://schemas.openxmlformats.org/officeDocument/2006/customXml" ds:itemID="{8E4EC2B6-1748-46D7-857A-46B6C2699BE9}">
  <ds:schemaRefs/>
</ds:datastoreItem>
</file>

<file path=customXml/itemProps15.xml><?xml version="1.0" encoding="utf-8"?>
<ds:datastoreItem xmlns:ds="http://schemas.openxmlformats.org/officeDocument/2006/customXml" ds:itemID="{05B777E2-9C44-4F6E-BE7E-9FFAF2336C42}">
  <ds:schemaRefs/>
</ds:datastoreItem>
</file>

<file path=customXml/itemProps16.xml><?xml version="1.0" encoding="utf-8"?>
<ds:datastoreItem xmlns:ds="http://schemas.openxmlformats.org/officeDocument/2006/customXml" ds:itemID="{3E366325-3F78-45D0-858B-4A882A9FC75A}">
  <ds:schemaRefs/>
</ds:datastoreItem>
</file>

<file path=customXml/itemProps17.xml><?xml version="1.0" encoding="utf-8"?>
<ds:datastoreItem xmlns:ds="http://schemas.openxmlformats.org/officeDocument/2006/customXml" ds:itemID="{F5D3CA8A-282C-4281-9457-C4C248F7FEB5}">
  <ds:schemaRefs>
    <ds:schemaRef ds:uri="http://schemas.microsoft.com/DataMashup"/>
  </ds:schemaRefs>
</ds:datastoreItem>
</file>

<file path=customXml/itemProps18.xml><?xml version="1.0" encoding="utf-8"?>
<ds:datastoreItem xmlns:ds="http://schemas.openxmlformats.org/officeDocument/2006/customXml" ds:itemID="{C8113F56-BA25-49E4-8902-F55AB031E4D7}">
  <ds:schemaRefs/>
</ds:datastoreItem>
</file>

<file path=customXml/itemProps19.xml><?xml version="1.0" encoding="utf-8"?>
<ds:datastoreItem xmlns:ds="http://schemas.openxmlformats.org/officeDocument/2006/customXml" ds:itemID="{B2C1D366-C0B9-441B-9D32-1035E3974F56}">
  <ds:schemaRefs/>
</ds:datastoreItem>
</file>

<file path=customXml/itemProps20.xml><?xml version="1.0" encoding="utf-8"?>
<ds:datastoreItem xmlns:ds="http://schemas.openxmlformats.org/officeDocument/2006/customXml" ds:itemID="{001A207B-1DFE-4F6F-9936-D2D1B9752144}">
  <ds:schemaRefs/>
</ds:datastoreItem>
</file>

<file path=customXml/itemProps21.xml><?xml version="1.0" encoding="utf-8"?>
<ds:datastoreItem xmlns:ds="http://schemas.openxmlformats.org/officeDocument/2006/customXml" ds:itemID="{ADCD49DD-A1EE-4D6B-BD05-CA2F7B330CB8}">
  <ds:schemaRefs/>
</ds:datastoreItem>
</file>

<file path=customXml/itemProps22.xml><?xml version="1.0" encoding="utf-8"?>
<ds:datastoreItem xmlns:ds="http://schemas.openxmlformats.org/officeDocument/2006/customXml" ds:itemID="{4D7154F9-5DB1-49E6-BA65-83E609A1AC7D}">
  <ds:schemaRefs/>
</ds:datastoreItem>
</file>

<file path=customXml/itemProps23.xml><?xml version="1.0" encoding="utf-8"?>
<ds:datastoreItem xmlns:ds="http://schemas.openxmlformats.org/officeDocument/2006/customXml" ds:itemID="{DA434526-C663-4001-8360-940ADED731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Agrawal</dc:creator>
  <cp:lastModifiedBy>Khushi Agrawal</cp:lastModifiedBy>
  <dcterms:created xsi:type="dcterms:W3CDTF">2026-06-02T06:41:23Z</dcterms:created>
  <dcterms:modified xsi:type="dcterms:W3CDTF">2026-07-04T09:05:17Z</dcterms:modified>
</cp:coreProperties>
</file>